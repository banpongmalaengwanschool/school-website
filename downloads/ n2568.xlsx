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งานวิชาการ\งานทะเบียน\2568\"/>
    </mc:Choice>
  </mc:AlternateContent>
  <xr:revisionPtr revIDLastSave="0" documentId="13_ncr:1_{AA413090-1436-4DAA-B029-60963A3B0EC7}" xr6:coauthVersionLast="47" xr6:coauthVersionMax="47" xr10:uidLastSave="{00000000-0000-0000-0000-000000000000}"/>
  <bookViews>
    <workbookView xWindow="-110" yWindow="-110" windowWidth="19420" windowHeight="10300" activeTab="1" xr2:uid="{AB22BB83-DB2D-45DF-8695-4C19B17F3305}"/>
  </bookViews>
  <sheets>
    <sheet name="สรุปจำนวน นร." sheetId="13" r:id="rId1"/>
    <sheet name="อ.1" sheetId="29" r:id="rId2"/>
    <sheet name="อ.2" sheetId="30" r:id="rId3"/>
    <sheet name="อ.3" sheetId="28" r:id="rId4"/>
    <sheet name="ป.1" sheetId="16" r:id="rId5"/>
    <sheet name="ป.2" sheetId="17" r:id="rId6"/>
    <sheet name="ป.3" sheetId="18" r:id="rId7"/>
    <sheet name="ป.4" sheetId="19" r:id="rId8"/>
    <sheet name="ป.5" sheetId="20" r:id="rId9"/>
    <sheet name="ป.6" sheetId="21" r:id="rId10"/>
    <sheet name="ม.1" sheetId="22" r:id="rId11"/>
    <sheet name="ม.2" sheetId="23" r:id="rId12"/>
    <sheet name="ม.3" sheetId="24" r:id="rId13"/>
  </sheets>
  <externalReferences>
    <externalReference r:id="rId14"/>
  </externalReferences>
  <calcPr calcId="191029"/>
</workbook>
</file>

<file path=xl/calcChain.xml><?xml version="1.0" encoding="utf-8"?>
<calcChain xmlns="http://schemas.openxmlformats.org/spreadsheetml/2006/main">
  <c r="F23" i="18" l="1"/>
  <c r="E23" i="18"/>
  <c r="F22" i="18"/>
  <c r="E22" i="18"/>
  <c r="F20" i="18"/>
  <c r="E20" i="18"/>
  <c r="D18" i="13"/>
  <c r="D19" i="13"/>
  <c r="D17" i="13"/>
  <c r="D11" i="13"/>
  <c r="D12" i="13"/>
  <c r="D13" i="13"/>
  <c r="D14" i="13"/>
  <c r="D15" i="13"/>
  <c r="D10" i="13"/>
  <c r="D7" i="13"/>
  <c r="D8" i="13"/>
  <c r="D6" i="13"/>
  <c r="B20" i="13"/>
  <c r="C20" i="13"/>
  <c r="C16" i="13"/>
  <c r="B16" i="13"/>
  <c r="C9" i="13"/>
  <c r="B9" i="13"/>
  <c r="B21" i="13" l="1"/>
  <c r="C21" i="13"/>
  <c r="D16" i="13"/>
  <c r="D20" i="13"/>
  <c r="D9" i="13"/>
  <c r="D21" i="13" l="1"/>
</calcChain>
</file>

<file path=xl/sharedStrings.xml><?xml version="1.0" encoding="utf-8"?>
<sst xmlns="http://schemas.openxmlformats.org/spreadsheetml/2006/main" count="874" uniqueCount="473">
  <si>
    <t>เลขประจำตัวประชาชน</t>
  </si>
  <si>
    <t>รหัสนักเรียน</t>
  </si>
  <si>
    <t>เด็กชาย</t>
  </si>
  <si>
    <t>ณัฐวัฒน์</t>
  </si>
  <si>
    <t>ดีเยี่ยม</t>
  </si>
  <si>
    <t>ทินกร</t>
  </si>
  <si>
    <t>กฤษณะสุวรรณ</t>
  </si>
  <si>
    <t>สุรพัศ</t>
  </si>
  <si>
    <t>สุพะนาม</t>
  </si>
  <si>
    <t>ชัยโชติ</t>
  </si>
  <si>
    <t>มัยสันเทียะ</t>
  </si>
  <si>
    <t>ภาณุวิชญ์</t>
  </si>
  <si>
    <t>ฉิมปรุ</t>
  </si>
  <si>
    <t>รัชชานนท์</t>
  </si>
  <si>
    <t>ร่มโพธิ์</t>
  </si>
  <si>
    <t>มีชัย</t>
  </si>
  <si>
    <t>มณีรักษ์</t>
  </si>
  <si>
    <t>มีโชค</t>
  </si>
  <si>
    <t>นันทพัทธ์</t>
  </si>
  <si>
    <t>ศิลาโคกกรวด</t>
  </si>
  <si>
    <t>ธนวัฒน์</t>
  </si>
  <si>
    <t>บำรุงนา</t>
  </si>
  <si>
    <t>ณัฐชัย</t>
  </si>
  <si>
    <t>โชกโคกกรวด</t>
  </si>
  <si>
    <t>พีรัชชัย</t>
  </si>
  <si>
    <t>ชาญสูงเนิน</t>
  </si>
  <si>
    <t>ชัชรินทร์</t>
  </si>
  <si>
    <t>เหลือวิชา</t>
  </si>
  <si>
    <t>กรวิชญ์</t>
  </si>
  <si>
    <t>งาเกาะ</t>
  </si>
  <si>
    <t>ณัฐศรัณย์</t>
  </si>
  <si>
    <t>รวยสันเทียะ</t>
  </si>
  <si>
    <t>ภควัตศรณ์</t>
  </si>
  <si>
    <t>ทั่วสูงเนิน</t>
  </si>
  <si>
    <t>เด็กหญิง</t>
  </si>
  <si>
    <t>ปิติยาพร</t>
  </si>
  <si>
    <t>เพียซ้าย</t>
  </si>
  <si>
    <t>รุ้งราวรรณ</t>
  </si>
  <si>
    <t>เขียนโคกกรวด</t>
  </si>
  <si>
    <t>ปิยนุช</t>
  </si>
  <si>
    <t>ภูริ์หริสร์</t>
  </si>
  <si>
    <t>รัตน์ใหม่</t>
  </si>
  <si>
    <t>กุลธวัช</t>
  </si>
  <si>
    <t>เจิมขุนทด</t>
  </si>
  <si>
    <t>ธนกฤต</t>
  </si>
  <si>
    <t>กรณ์โคกกรวด</t>
  </si>
  <si>
    <t>อนุรักษ์</t>
  </si>
  <si>
    <t>โชสูงเนิน</t>
  </si>
  <si>
    <t>ญาณวุฒิ</t>
  </si>
  <si>
    <t>ปริญญวัฒน์</t>
  </si>
  <si>
    <t>วีรศักดิ์</t>
  </si>
  <si>
    <t>ทองโพธิ์</t>
  </si>
  <si>
    <t>กัลย์คเณพร</t>
  </si>
  <si>
    <t>อัญชลีพร</t>
  </si>
  <si>
    <t>ชาลิสา</t>
  </si>
  <si>
    <t>ฉ่องสูงเนิน</t>
  </si>
  <si>
    <t>ณัชชา</t>
  </si>
  <si>
    <t>ปณิตา</t>
  </si>
  <si>
    <t>เกิดเหมาะ</t>
  </si>
  <si>
    <t>บุตรน้ำเพชร</t>
  </si>
  <si>
    <t>ปรัชญา</t>
  </si>
  <si>
    <t>สาวิกา</t>
  </si>
  <si>
    <t>บุญประสิทธิ์</t>
  </si>
  <si>
    <t>มลทิชา</t>
  </si>
  <si>
    <t>รอสูงเนิน</t>
  </si>
  <si>
    <t>กฤษสนา</t>
  </si>
  <si>
    <t>ศรีรงค์</t>
  </si>
  <si>
    <t>ปพนสรรค์</t>
  </si>
  <si>
    <t>จักรกฤษ</t>
  </si>
  <si>
    <t>แหวนเพ็ชร์</t>
  </si>
  <si>
    <t>กิตติภูมิ</t>
  </si>
  <si>
    <t>กั้งกลาง</t>
  </si>
  <si>
    <t>ณัฐเดช</t>
  </si>
  <si>
    <t>เนียมใหม่</t>
  </si>
  <si>
    <t>อารมณ์ประเสริฐ</t>
  </si>
  <si>
    <t>เทวา</t>
  </si>
  <si>
    <t>จัตตุกูล</t>
  </si>
  <si>
    <t>อชิรวัฒน์</t>
  </si>
  <si>
    <t>ครุฑทอง</t>
  </si>
  <si>
    <t>ธฤต</t>
  </si>
  <si>
    <t>บุตรไชย</t>
  </si>
  <si>
    <t>อำนาจตระการ</t>
  </si>
  <si>
    <t>ธีรศักดิ์</t>
  </si>
  <si>
    <t>เพียงโคกกรวด</t>
  </si>
  <si>
    <t>อโนทัย</t>
  </si>
  <si>
    <t>ดีโปร่ง</t>
  </si>
  <si>
    <t>ณัฐวุฒิ</t>
  </si>
  <si>
    <t>สิริชัย</t>
  </si>
  <si>
    <t>สร้อยสุวรรณ</t>
  </si>
  <si>
    <t>น้ำขิง</t>
  </si>
  <si>
    <t>พงษ์โคกกรวด</t>
  </si>
  <si>
    <t>กมลชนก</t>
  </si>
  <si>
    <t>สันกลาง</t>
  </si>
  <si>
    <t>พิชญา</t>
  </si>
  <si>
    <t>คิดการ</t>
  </si>
  <si>
    <t>ปาณิสรา</t>
  </si>
  <si>
    <t>ชลธิชา</t>
  </si>
  <si>
    <t>ดอกแขมกลาง</t>
  </si>
  <si>
    <t>รัชฎาภรณ์</t>
  </si>
  <si>
    <t>ธนดล</t>
  </si>
  <si>
    <t>อบกลาง</t>
  </si>
  <si>
    <t>ไปรยา</t>
  </si>
  <si>
    <t>ญาโณทัย</t>
  </si>
  <si>
    <t>แก้วประเสริฐ</t>
  </si>
  <si>
    <t>สวิตต์</t>
  </si>
  <si>
    <t>เทาโคกกรวด</t>
  </si>
  <si>
    <t>ศุภชัย</t>
  </si>
  <si>
    <t>เลื่อนสูงเนิน</t>
  </si>
  <si>
    <t>พงศกร</t>
  </si>
  <si>
    <t>แก้วพลกรัง</t>
  </si>
  <si>
    <t>วรายุส</t>
  </si>
  <si>
    <t>วิเศษโคกกรวด</t>
  </si>
  <si>
    <t>ภานุศิลป์</t>
  </si>
  <si>
    <t>อ่อนจังหรีด</t>
  </si>
  <si>
    <t>วศิน</t>
  </si>
  <si>
    <t>พิมพ์สูงเนิน</t>
  </si>
  <si>
    <t>นัธทวัฒน์</t>
  </si>
  <si>
    <t>บัวสด</t>
  </si>
  <si>
    <t>เอกภพ</t>
  </si>
  <si>
    <t>สิงห์ปรีชา</t>
  </si>
  <si>
    <t>ปิยฉัตร</t>
  </si>
  <si>
    <t>เลาสูงเนิน</t>
  </si>
  <si>
    <t>ประภัศรา</t>
  </si>
  <si>
    <t>เพิ่มธัญกรณ์</t>
  </si>
  <si>
    <t>สุภาสินี</t>
  </si>
  <si>
    <t>หนึ่งธิดา</t>
  </si>
  <si>
    <t>ฟักโคกกรวด</t>
  </si>
  <si>
    <t>บัณฑิตา</t>
  </si>
  <si>
    <t>ชมโคกกรวด</t>
  </si>
  <si>
    <t>รุ่งฤดี</t>
  </si>
  <si>
    <t>พฤชัย</t>
  </si>
  <si>
    <t>ยานาทอน</t>
  </si>
  <si>
    <t>เง็กสูงเนิน</t>
  </si>
  <si>
    <t>ทิวา</t>
  </si>
  <si>
    <t>ศิริชัย</t>
  </si>
  <si>
    <t>ผึ่งยิ้ม</t>
  </si>
  <si>
    <t>นวคุณ</t>
  </si>
  <si>
    <t>รัฐศาสตร์</t>
  </si>
  <si>
    <t>ด้วงสูงเนิน</t>
  </si>
  <si>
    <t>ธีรภัทร์</t>
  </si>
  <si>
    <t>ปภาวิชญ์</t>
  </si>
  <si>
    <t>มะนะเสน</t>
  </si>
  <si>
    <t>ธวัชชัย</t>
  </si>
  <si>
    <t>ทองเนตร</t>
  </si>
  <si>
    <t>แน่นนอก</t>
  </si>
  <si>
    <t>เชียรโคกกรวด</t>
  </si>
  <si>
    <t>ธันวา</t>
  </si>
  <si>
    <t>หงษ์พันธ์</t>
  </si>
  <si>
    <t>โพ๊ะสูงเนิน</t>
  </si>
  <si>
    <t>พีรพัฒน์</t>
  </si>
  <si>
    <t>พันธ์โคกกรวด</t>
  </si>
  <si>
    <t>ดุงโคกกรวด</t>
  </si>
  <si>
    <t>ณัฐภัทร</t>
  </si>
  <si>
    <t>ณัฐดนัย</t>
  </si>
  <si>
    <t>งัดสันเทียะ</t>
  </si>
  <si>
    <t>คำทวี</t>
  </si>
  <si>
    <t>ภานุวัฒน์</t>
  </si>
  <si>
    <t>ขันโคกกรวด</t>
  </si>
  <si>
    <t>ชูโคกกรวด</t>
  </si>
  <si>
    <t xml:space="preserve">ลำดับที่ </t>
  </si>
  <si>
    <t>ชื่อ  -  นามสกุล</t>
  </si>
  <si>
    <t>กนกนุช</t>
  </si>
  <si>
    <t>ธนโชคสำราญ</t>
  </si>
  <si>
    <t>หาญโคกกรวด</t>
  </si>
  <si>
    <t>ยืนยง</t>
  </si>
  <si>
    <t>เสียงดัง</t>
  </si>
  <si>
    <t>สิงหา</t>
  </si>
  <si>
    <t>เอกราช</t>
  </si>
  <si>
    <t>รัชชานันท์</t>
  </si>
  <si>
    <t>ภูตะวัน</t>
  </si>
  <si>
    <t>ลบสันเทียะ</t>
  </si>
  <si>
    <t>ธัญเทพ</t>
  </si>
  <si>
    <t>มุกพะเนา</t>
  </si>
  <si>
    <t>พงศ์ภรณ์</t>
  </si>
  <si>
    <t>ชื่นจันอัด</t>
  </si>
  <si>
    <t>ศกลวัฒน์</t>
  </si>
  <si>
    <t>เพียนใหม่</t>
  </si>
  <si>
    <t>พรศักดิ์</t>
  </si>
  <si>
    <t>ณรงค์ชัย</t>
  </si>
  <si>
    <t>กัญญาพร</t>
  </si>
  <si>
    <t>สมฤดี</t>
  </si>
  <si>
    <t>วรรนิษา</t>
  </si>
  <si>
    <t>ปอสูงเนิน</t>
  </si>
  <si>
    <t>ศุภโชค</t>
  </si>
  <si>
    <t>นาวิน</t>
  </si>
  <si>
    <t>หวดไธสง</t>
  </si>
  <si>
    <t>ธนวุฒิ</t>
  </si>
  <si>
    <t xml:space="preserve">จันทลักษณ์    </t>
  </si>
  <si>
    <t xml:space="preserve">กฤษณภูมิ </t>
  </si>
  <si>
    <t>จรโคกกรวด</t>
  </si>
  <si>
    <t>ปิยวัฒน์</t>
  </si>
  <si>
    <t xml:space="preserve">วีรภัทร  </t>
  </si>
  <si>
    <t>สีหาใต้</t>
  </si>
  <si>
    <t xml:space="preserve">อรรถพล </t>
  </si>
  <si>
    <t xml:space="preserve">รวยสันเทียะ </t>
  </si>
  <si>
    <t xml:space="preserve">ณัฐวันล์  </t>
  </si>
  <si>
    <t>ภาวิณี</t>
  </si>
  <si>
    <t>ณัฐชา</t>
  </si>
  <si>
    <t>ศรีใสคำ</t>
  </si>
  <si>
    <t>นิ่มกลาง</t>
  </si>
  <si>
    <t>ศิรัญญา</t>
  </si>
  <si>
    <t>กชนิภา</t>
  </si>
  <si>
    <t xml:space="preserve">ขวัญข้าว  </t>
  </si>
  <si>
    <t>กางโคกกรวด</t>
  </si>
  <si>
    <t>ณัฐวรากรณ์</t>
  </si>
  <si>
    <t>วริทธิ์ศา</t>
  </si>
  <si>
    <t>ลำดวน</t>
  </si>
  <si>
    <t>ระดับชั้น</t>
  </si>
  <si>
    <t>จำนวนนักเรียน</t>
  </si>
  <si>
    <t>ชาย</t>
  </si>
  <si>
    <t>หญิง</t>
  </si>
  <si>
    <t>รวม</t>
  </si>
  <si>
    <t>หมายเหตุ</t>
  </si>
  <si>
    <t>อนุบาลปีที่ 1</t>
  </si>
  <si>
    <t>อนุบาลปีที่ 2</t>
  </si>
  <si>
    <t>ประถมศึกษาปีที่ 1</t>
  </si>
  <si>
    <t>ประถมศึกษาปีที่ 2</t>
  </si>
  <si>
    <t>ประถมศึกษาปีที่ 3</t>
  </si>
  <si>
    <t>ประถมศึกษาปีที่ 5</t>
  </si>
  <si>
    <t>มัธยมศึกษาปีที่ 1</t>
  </si>
  <si>
    <t>มัธยมศึกษาปีที่ 2</t>
  </si>
  <si>
    <t>มัธยมศึกษาปีที่ 3</t>
  </si>
  <si>
    <t>รวมทั้งสิ้น</t>
  </si>
  <si>
    <t>เชิดชู</t>
  </si>
  <si>
    <t>ธนภัทร</t>
  </si>
  <si>
    <t>วรรนิสา</t>
  </si>
  <si>
    <t>ณัฐจักร</t>
  </si>
  <si>
    <t>พลอยขวัญ</t>
  </si>
  <si>
    <t>ดิฐประยูร</t>
  </si>
  <si>
    <t>ดุนกลาง</t>
  </si>
  <si>
    <t>เผือกจันทึก</t>
  </si>
  <si>
    <t>จันทร์ตากอง</t>
  </si>
  <si>
    <t>นฤบดินทร์</t>
  </si>
  <si>
    <t>ชูศักดิ์</t>
  </si>
  <si>
    <t>สุกัน</t>
  </si>
  <si>
    <t>จิรายุ</t>
  </si>
  <si>
    <t>คณาธิป</t>
  </si>
  <si>
    <t>ณภัทร</t>
  </si>
  <si>
    <t>วิทยา</t>
  </si>
  <si>
    <t>พีชญา</t>
  </si>
  <si>
    <t>ของโคกกรวด</t>
  </si>
  <si>
    <t>พิชญธิดา</t>
  </si>
  <si>
    <t>ศิริกัลยา</t>
  </si>
  <si>
    <t>เจตนิพัทธ์</t>
  </si>
  <si>
    <t>นฤชัย</t>
  </si>
  <si>
    <t>พชร</t>
  </si>
  <si>
    <t>นิลสุ</t>
  </si>
  <si>
    <t>คะสะติ</t>
  </si>
  <si>
    <t>ธีรภัทร</t>
  </si>
  <si>
    <t>อุปสร</t>
  </si>
  <si>
    <t>ธนวรรธน์</t>
  </si>
  <si>
    <t>ธนาตย์ทวีปัญญา</t>
  </si>
  <si>
    <t>เบญจวรรณ</t>
  </si>
  <si>
    <t>เสนใหม่</t>
  </si>
  <si>
    <t>กรนันท์</t>
  </si>
  <si>
    <t>ชารีคง</t>
  </si>
  <si>
    <t>ณัฏฐธิดา</t>
  </si>
  <si>
    <t>แพทย์สูงเนิน</t>
  </si>
  <si>
    <t>ธันยพร</t>
  </si>
  <si>
    <t>รมิดา</t>
  </si>
  <si>
    <t>ชนะสิทธิ์</t>
  </si>
  <si>
    <t>รณิดา</t>
  </si>
  <si>
    <t>อัครวรรณ</t>
  </si>
  <si>
    <t>แสวงนอก</t>
  </si>
  <si>
    <t>สุณัฏฐา</t>
  </si>
  <si>
    <t>สิรินทรา</t>
  </si>
  <si>
    <t>สถิตตาภรณ์</t>
  </si>
  <si>
    <t>นุชวรา</t>
  </si>
  <si>
    <t>บุตวงษ</t>
  </si>
  <si>
    <t>เปรมมิกา</t>
  </si>
  <si>
    <t>โกนกระโทก</t>
  </si>
  <si>
    <t>กิ่งโคกกรวด</t>
  </si>
  <si>
    <t>ทูโคกกรวด</t>
  </si>
  <si>
    <t>สกลภัทร</t>
  </si>
  <si>
    <t>อนุบาลปีที่ 3</t>
  </si>
  <si>
    <t>ประถมศึกษาปีที่ 4</t>
  </si>
  <si>
    <t>ประถมศึกษาปีที่ 6</t>
  </si>
  <si>
    <t>กนกพร</t>
  </si>
  <si>
    <t>นวลกิ่ง</t>
  </si>
  <si>
    <t>ภานุพงษ์</t>
  </si>
  <si>
    <t>เมืองแพน</t>
  </si>
  <si>
    <t>วีรชญา</t>
  </si>
  <si>
    <t>นิ้วทอง</t>
  </si>
  <si>
    <t>ปิ่นมุก</t>
  </si>
  <si>
    <t>ธีรยา</t>
  </si>
  <si>
    <t>ธีรตา</t>
  </si>
  <si>
    <t>จีราภรณ์</t>
  </si>
  <si>
    <t>ขันตรี</t>
  </si>
  <si>
    <t>ปาราเมศ</t>
  </si>
  <si>
    <t>กลึงพุดซา</t>
  </si>
  <si>
    <t>เตชินท์</t>
  </si>
  <si>
    <t>ธนเทพ</t>
  </si>
  <si>
    <t>นพวงษ์</t>
  </si>
  <si>
    <t>ภูธเนศ</t>
  </si>
  <si>
    <t>อานนท์</t>
  </si>
  <si>
    <t>พิมลวรรณ</t>
  </si>
  <si>
    <t>ธีราพร</t>
  </si>
  <si>
    <t>เพชรอุดม</t>
  </si>
  <si>
    <t>เสาวรส</t>
  </si>
  <si>
    <t>กานต์ทิตา</t>
  </si>
  <si>
    <t>พรหมพร</t>
  </si>
  <si>
    <t>เพ็ชรงาม</t>
  </si>
  <si>
    <t>ศรีหาใต้</t>
  </si>
  <si>
    <t>หนาแน่น</t>
  </si>
  <si>
    <t>นพเกล้า</t>
  </si>
  <si>
    <t>วิเชียร</t>
  </si>
  <si>
    <t>สำนักโนน</t>
  </si>
  <si>
    <t>ชนาภัทร</t>
  </si>
  <si>
    <t>เสพสวัสดิ์</t>
  </si>
  <si>
    <t>พนาชัย</t>
  </si>
  <si>
    <t>จีนปุ้ย</t>
  </si>
  <si>
    <t>วิภาวี</t>
  </si>
  <si>
    <t>น้ำอิง</t>
  </si>
  <si>
    <t>รชานนท์</t>
  </si>
  <si>
    <t>ธยุติธร</t>
  </si>
  <si>
    <t>สีขาว</t>
  </si>
  <si>
    <t>ฐิติมาภรณ์</t>
  </si>
  <si>
    <t>อนิรุต</t>
  </si>
  <si>
    <t>เสงี่ยมโคกกรวด</t>
  </si>
  <si>
    <t>ประภัสรา</t>
  </si>
  <si>
    <t>ถนนทะเล</t>
  </si>
  <si>
    <t>อิสริยา</t>
  </si>
  <si>
    <t>สรวิชญ์</t>
  </si>
  <si>
    <t>รักหน้าที่</t>
  </si>
  <si>
    <t>ครู</t>
  </si>
  <si>
    <t xml:space="preserve">นันฐวัฒน์ </t>
  </si>
  <si>
    <t>ฑณิษตา</t>
  </si>
  <si>
    <t>รัชนก</t>
  </si>
  <si>
    <t>แสงสิงห์</t>
  </si>
  <si>
    <t>เบ้ากลาง</t>
  </si>
  <si>
    <t xml:space="preserve">ฑณิฐา  </t>
  </si>
  <si>
    <t>สุภวดี</t>
  </si>
  <si>
    <t>แสนศรี</t>
  </si>
  <si>
    <t>ชนาธิป</t>
  </si>
  <si>
    <t>สามารถ</t>
  </si>
  <si>
    <t xml:space="preserve">ภูสิษฐ์ </t>
  </si>
  <si>
    <t>รักชาติ</t>
  </si>
  <si>
    <t xml:space="preserve">ชัยกร </t>
  </si>
  <si>
    <t>ทรงชาติ</t>
  </si>
  <si>
    <t>13095 00020772</t>
  </si>
  <si>
    <t xml:space="preserve">พรนัชชา </t>
  </si>
  <si>
    <t>สุดหอม</t>
  </si>
  <si>
    <t xml:space="preserve">มุขสุดา </t>
  </si>
  <si>
    <t xml:space="preserve">วรินรำไพ </t>
  </si>
  <si>
    <t>แซ่ด่าน</t>
  </si>
  <si>
    <t xml:space="preserve">ธวัชชัย </t>
  </si>
  <si>
    <t xml:space="preserve">กันตภณ </t>
  </si>
  <si>
    <t xml:space="preserve">ภูมิภิพัฒน์ </t>
  </si>
  <si>
    <t xml:space="preserve">กัญญาณัฐ </t>
  </si>
  <si>
    <t>เอิบกระมล</t>
  </si>
  <si>
    <t xml:space="preserve">สโรชา </t>
  </si>
  <si>
    <t>ถมทอง</t>
  </si>
  <si>
    <t xml:space="preserve">ศิรินภา </t>
  </si>
  <si>
    <t xml:space="preserve">วิรัลพัชร </t>
  </si>
  <si>
    <t>สุภาพร</t>
  </si>
  <si>
    <t>เสิงขุนทด</t>
  </si>
  <si>
    <t xml:space="preserve">วรินทร </t>
  </si>
  <si>
    <t xml:space="preserve">ธนาธิป </t>
  </si>
  <si>
    <t>จันทร์เรือง</t>
  </si>
  <si>
    <t xml:space="preserve">เกียรติศักดิ์ </t>
  </si>
  <si>
    <t>ทองเผือก</t>
  </si>
  <si>
    <t>อาทิตยา</t>
  </si>
  <si>
    <t xml:space="preserve">ธนากร </t>
  </si>
  <si>
    <t>ไชยพลฤทธิ์</t>
  </si>
  <si>
    <t>นลินรัตน์</t>
  </si>
  <si>
    <t>วิเศษไพลิน</t>
  </si>
  <si>
    <t>อภิญญา</t>
  </si>
  <si>
    <t>เครือเทพ</t>
  </si>
  <si>
    <t>ปาริชาต</t>
  </si>
  <si>
    <t xml:space="preserve">จีระศักดิ์ </t>
  </si>
  <si>
    <t>ร่มจันทร์</t>
  </si>
  <si>
    <t>ธนายุทธ</t>
  </si>
  <si>
    <t>คงเสือ</t>
  </si>
  <si>
    <t>เพียงใหม่</t>
  </si>
  <si>
    <t>อัครกฤษ</t>
  </si>
  <si>
    <t>พรพิมล</t>
  </si>
  <si>
    <t>ตันศิริ</t>
  </si>
  <si>
    <t>ณัฐพัฒน์</t>
  </si>
  <si>
    <t>เปรี่ยมสูงเนิน</t>
  </si>
  <si>
    <t>อินทนัย</t>
  </si>
  <si>
    <t>บัวนาค</t>
  </si>
  <si>
    <t xml:space="preserve">ธนวิทย์ </t>
  </si>
  <si>
    <t xml:space="preserve">วชิรญาณ์ </t>
  </si>
  <si>
    <t>ศุกลภัทร</t>
  </si>
  <si>
    <t>ไอรดา</t>
  </si>
  <si>
    <t>นุ่นกลาง</t>
  </si>
  <si>
    <t>พิมพ์ชนก</t>
  </si>
  <si>
    <t>พุดชงค์</t>
  </si>
  <si>
    <t>รวม  ชาย…10...คน  หญิง…11...คน  โรงเรียนบ้านโป่งแมลงวัน (จิราธิวัฒน์อุปถัมภ์)</t>
  </si>
  <si>
    <t>ณรงค์ฤทธิ์</t>
  </si>
  <si>
    <t>เลียบสันเทียะ</t>
  </si>
  <si>
    <t>วทัญญู</t>
  </si>
  <si>
    <t>ทิมกระโทก</t>
  </si>
  <si>
    <t>คีรีภัทร</t>
  </si>
  <si>
    <t>ธารา</t>
  </si>
  <si>
    <t>ประการแก้ว</t>
  </si>
  <si>
    <t>ทรรศนันท์ดรณ์</t>
  </si>
  <si>
    <t>ภูมคุ้มเพชร</t>
  </si>
  <si>
    <t>ชัชนนท์</t>
  </si>
  <si>
    <t>มักขุนทด</t>
  </si>
  <si>
    <t>ชัยกร</t>
  </si>
  <si>
    <t>อัญญา</t>
  </si>
  <si>
    <t>อุนาริเน</t>
  </si>
  <si>
    <t>ณัฐชานันท์</t>
  </si>
  <si>
    <t>อุดทะปา</t>
  </si>
  <si>
    <t>ชฎารัตน์</t>
  </si>
  <si>
    <t>ขอกลาง</t>
  </si>
  <si>
    <t>กัญญาพัชร</t>
  </si>
  <si>
    <t>นิรดา</t>
  </si>
  <si>
    <t>นวรัตน์</t>
  </si>
  <si>
    <t>กลิ่นหอม</t>
  </si>
  <si>
    <t>อัจฉราวดี</t>
  </si>
  <si>
    <t>ไพราม</t>
  </si>
  <si>
    <t>ชญาดา</t>
  </si>
  <si>
    <t>สายธาร</t>
  </si>
  <si>
    <t>ยมโพธิ์กลาง</t>
  </si>
  <si>
    <t>นิติญา</t>
  </si>
  <si>
    <t>อิ่มพิมาย</t>
  </si>
  <si>
    <t>รณกร</t>
  </si>
  <si>
    <t>วีรภูมิ</t>
  </si>
  <si>
    <t>บุญรักษา</t>
  </si>
  <si>
    <t>ปฏิญากร</t>
  </si>
  <si>
    <t>พรมโท</t>
  </si>
  <si>
    <t>สุทธิลักษณ์</t>
  </si>
  <si>
    <t>การรุ่งเรือง</t>
  </si>
  <si>
    <t>ธัญชนก</t>
  </si>
  <si>
    <t>ณันฐิการณ์</t>
  </si>
  <si>
    <t>เพ็งปลัด</t>
  </si>
  <si>
    <t>ภาคิน</t>
  </si>
  <si>
    <t>คู่ชัยสิทธิกุล</t>
  </si>
  <si>
    <t>รวม  ชาย…16...คน,  หญิง…10...คน โรงเรียนบ้านโป่งแมลงวัน (จิราธิวัฒน์อุปถัมภ์)</t>
  </si>
  <si>
    <t>รวม  ชาย...10...คน,  หญิง…10...คน  โรงเรียนบ้านโป่งแมลงวัน (จิราธิวัฒน์อุปถัมภ์)</t>
  </si>
  <si>
    <t>วรภัทร</t>
  </si>
  <si>
    <t>มะลิวงษ์</t>
  </si>
  <si>
    <t>สุขสันต์</t>
  </si>
  <si>
    <t>เพชรหมื่นไวย</t>
  </si>
  <si>
    <t>1309904267249</t>
  </si>
  <si>
    <t>เอกสารอยู่กับครูจีราภร ลง DMC แล้ว</t>
  </si>
  <si>
    <t>ณัฏฐวรรณ</t>
  </si>
  <si>
    <t xml:space="preserve">     รวม   ชาย…15...คน,  หญิง.....18....คน โรงเรียนบ้านโป่งแมลงวัน (จิราธิวัฒน์อุปถัมภ์)</t>
  </si>
  <si>
    <t>เจนจิรา</t>
  </si>
  <si>
    <t>มั่งมี</t>
  </si>
  <si>
    <t>นราวิชญ์</t>
  </si>
  <si>
    <t>ภีมนภัทร</t>
  </si>
  <si>
    <t>อรัญมาลา</t>
  </si>
  <si>
    <t xml:space="preserve"> รวม  ชาย…17...คน,  หญิง…5...คน โรงเรียนบ้านโป่งแมลงวัน (จิราธิวัฒน์อุปถัมภ์)</t>
  </si>
  <si>
    <t xml:space="preserve"> รวม  ชาย…19...คน,  หญิง…8...คน  โรงเรียนบ้านโป่งแมลงวัน (จิราธิวัฒน์อุปถัมภ์)</t>
  </si>
  <si>
    <t xml:space="preserve">   รวม  ชาย…12...คน,  หญิง…6...คน  โรงเรียนบ้านโป่งแมลงวัน (จิราธิวัฒน์อุปถัมภ์)</t>
  </si>
  <si>
    <t xml:space="preserve"> รวม  ชาย...12...คน,  หญิง…9...คน โรงเรียนบ้านโป่งแมลงวัน (จิราธิวัฒน์อุปถัมภ์)</t>
  </si>
  <si>
    <t xml:space="preserve"> รวม  ชาย…13...คน   หญิง…6...คน โรงเรียนบ้านโป่งแมลงวัน (จิราธิวัฒน์อุปถัมภ์)</t>
  </si>
  <si>
    <t>รวม  ชาย…12...คน,  หญิง…5...คน โรงเรียนบ้านโป่งแมลงวัน (จิราธิวัฒน์อุปถัมภ์)</t>
  </si>
  <si>
    <t>รวม  ชาย…10...คน,  หญิง…8...คน โรงเรียนบ้านโป่งแมลงวัน (จิราธิวัฒน์อุปถัมภ์)</t>
  </si>
  <si>
    <t>รวม  ชาย…8...คน,  หญิง…9...คน โรงเรียนบ้านโป่งแมลงวัน (จิราธิวัฒน์อุปถัมภ์)</t>
  </si>
  <si>
    <t>จินดารัตน์</t>
  </si>
  <si>
    <t>ฝ่ายสงฆ์</t>
  </si>
  <si>
    <t>อรรคพล</t>
  </si>
  <si>
    <t>กาญรุ่งเรือง</t>
  </si>
  <si>
    <t>อินทิรา</t>
  </si>
  <si>
    <t>บุญเหลือ</t>
  </si>
  <si>
    <t>สรุปจำนวนนักเรียน โรงเรียนบ้านโป่งแมลงวัน (จิราธิวัฒน์อุปถัมภ์) ภาคเรียนที่ 2 ปีการศึกษา 2568</t>
  </si>
  <si>
    <t>(ข้อมูล ณ วันที่ 1 พฤศจิกายน 2568)</t>
  </si>
  <si>
    <t>รายชื่อนักเรียนชั้นอนุบาลปีที่ 1 ภาคเรียนที่ 2 ปีการศึกษา 2568</t>
  </si>
  <si>
    <t>รายชื่อนักเรียนชั้นอนุบาลปีที่ 2 ภาคเรียนที่ 2 ปีการศึกษา 2568</t>
  </si>
  <si>
    <t>รายชื่อนักเรียนชั้นอนุบาลปีที่ 3 ภาคเรียนที่ 2 ปีการศึกษา 2568</t>
  </si>
  <si>
    <t>รายชื่อนักเรียนชั้นประถมศึกษาปีที่ 1 ภาคเรียนที่ 2 ปีการศึกษา 2568</t>
  </si>
  <si>
    <t>รายชื่อนักเรียนชั้นประถมศึกษาปีที่ 2 ภาคเรียนที่ 2 ปีการศึกษา 2568</t>
  </si>
  <si>
    <t>รายชื่อนักเรียนชั้นประถมศึกษาปีที่ 3 ภาคเรียนที่ 2 ปีการศึกษา 2568</t>
  </si>
  <si>
    <t>รายชื่อนักเรียนชั้นประถมศึกษาปีที่ 4 ภาคเรียนที่ 2 ปีการศึกษา 2568</t>
  </si>
  <si>
    <t>รายชื่อนักเรียนชั้นประถมศึกษาปีที่ 5 ภาคเรียนที่ 2 ปีการศึกษา 2568</t>
  </si>
  <si>
    <t>รายชื่อนักเรียนชั้นประถมศึกษาปีที่ 6 ภาคเรียนที่ 2 ปีการศึกษา 2568</t>
  </si>
  <si>
    <t>รายชื่อนักเรียนชั้นมัธยมศึกษาปีที่ 1 ภาคเรียนที่ 2 ปีการศึกษา 2568</t>
  </si>
  <si>
    <t>รายชื่อนักเรียนชั้นมัธยมศึกษาปีที่ 2 ภาคเรียนที่ 2 ปีการศึกษา 2568</t>
  </si>
  <si>
    <t>รายชื่อนักเรียนชั้นมัธยมศึกษาปีที่ 3 ภาคเรียนที่ 2 ปีการศึกษา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</si>
</sst>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22">
    <font>
      <sz val="11"/>
      <color theme="1"/>
      <name val="Calibri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sz val="11"/>
      <name val="TH SarabunPSK"/>
      <family val="2"/>
    </font>
    <font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color rgb="FFFF0000"/>
      <name val="TH Sarabun New"/>
      <family val="2"/>
      <charset val="222"/>
    </font>
    <font>
      <sz val="11"/>
      <color rgb="FFFF0000"/>
      <name val="TH Sarabun New"/>
      <family val="2"/>
      <charset val="222"/>
    </font>
    <font>
      <b/>
      <u/>
      <sz val="16"/>
      <color rgb="FFFF0000"/>
      <name val="TH Sarabun New"/>
      <family val="2"/>
      <charset val="222"/>
    </font>
    <font>
      <sz val="16"/>
      <name val="TH Sarabun New"/>
      <family val="2"/>
    </font>
    <font>
      <sz val="16"/>
      <name val="TH SarabunPSK"/>
      <family val="2"/>
      <charset val="222"/>
    </font>
    <font>
      <b/>
      <sz val="16"/>
      <name val="TH SarabunPSK"/>
      <family val="2"/>
      <charset val="222"/>
    </font>
    <font>
      <sz val="16"/>
      <color rgb="FF00B050"/>
      <name val="TH Sarabun New"/>
      <family val="2"/>
    </font>
    <font>
      <sz val="16"/>
      <color rgb="FF00B050"/>
      <name val="TH SarabunPSK"/>
      <family val="2"/>
    </font>
    <font>
      <sz val="16"/>
      <color rgb="FFFF0000"/>
      <name val="TH SarabunPSK"/>
      <family val="2"/>
      <charset val="222"/>
    </font>
    <font>
      <sz val="11"/>
      <color theme="1"/>
      <name val="Calibri"/>
      <family val="2"/>
      <scheme val="minor"/>
    </font>
    <font>
      <sz val="16"/>
      <name val="TH Sarabun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244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1" fontId="6" fillId="0" borderId="0" xfId="0" applyNumberFormat="1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8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 vertical="top" shrinkToFit="1"/>
    </xf>
    <xf numFmtId="0" fontId="9" fillId="0" borderId="1" xfId="0" applyFont="1" applyBorder="1" applyAlignment="1">
      <alignment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shrinkToFi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 shrinkToFit="1"/>
    </xf>
    <xf numFmtId="0" fontId="2" fillId="0" borderId="4" xfId="0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" fontId="2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shrinkToFit="1"/>
    </xf>
    <xf numFmtId="0" fontId="2" fillId="0" borderId="3" xfId="0" applyFont="1" applyBorder="1" applyAlignment="1">
      <alignment horizontal="left" vertical="top" shrinkToFit="1"/>
    </xf>
    <xf numFmtId="0" fontId="7" fillId="0" borderId="1" xfId="0" applyFont="1" applyBorder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7" fillId="0" borderId="1" xfId="0" applyFont="1" applyBorder="1" applyAlignment="1">
      <alignment shrinkToFit="1"/>
    </xf>
    <xf numFmtId="0" fontId="2" fillId="0" borderId="1" xfId="0" applyFont="1" applyBorder="1" applyAlignment="1">
      <alignment shrinkToFit="1"/>
    </xf>
    <xf numFmtId="0" fontId="2" fillId="0" borderId="0" xfId="0" applyFont="1"/>
    <xf numFmtId="0" fontId="7" fillId="0" borderId="1" xfId="0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1" xfId="0" applyFont="1" applyBorder="1" applyAlignment="1">
      <alignment horizontal="center" shrinkToFit="1"/>
    </xf>
    <xf numFmtId="1" fontId="2" fillId="0" borderId="1" xfId="0" applyNumberFormat="1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2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7" fillId="0" borderId="2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2" fillId="0" borderId="5" xfId="0" applyFont="1" applyBorder="1" applyAlignment="1">
      <alignment horizontal="center" shrinkToFit="1"/>
    </xf>
    <xf numFmtId="0" fontId="2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left" vertical="top" shrinkToFit="1"/>
    </xf>
    <xf numFmtId="0" fontId="7" fillId="0" borderId="2" xfId="0" applyFont="1" applyBorder="1" applyAlignment="1">
      <alignment horizontal="left" vertical="top" shrinkToFit="1"/>
    </xf>
    <xf numFmtId="0" fontId="7" fillId="0" borderId="3" xfId="0" applyFont="1" applyBorder="1" applyAlignment="1">
      <alignment horizontal="left" vertical="top" shrinkToFit="1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vertical="top" shrinkToFit="1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vertical="top" shrinkToFit="1"/>
    </xf>
    <xf numFmtId="1" fontId="2" fillId="0" borderId="4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 shrinkToFit="1"/>
    </xf>
    <xf numFmtId="0" fontId="3" fillId="0" borderId="1" xfId="0" applyFont="1" applyBorder="1" applyAlignment="1">
      <alignment vertical="top"/>
    </xf>
    <xf numFmtId="0" fontId="7" fillId="0" borderId="2" xfId="0" applyFont="1" applyBorder="1"/>
    <xf numFmtId="0" fontId="7" fillId="0" borderId="3" xfId="0" applyFont="1" applyBorder="1"/>
    <xf numFmtId="0" fontId="2" fillId="0" borderId="4" xfId="0" applyFont="1" applyBorder="1" applyAlignment="1">
      <alignment horizontal="left" vertical="top" shrinkToFit="1"/>
    </xf>
    <xf numFmtId="0" fontId="3" fillId="0" borderId="0" xfId="0" applyFont="1"/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shrinkToFit="1"/>
    </xf>
    <xf numFmtId="1" fontId="2" fillId="0" borderId="0" xfId="0" applyNumberFormat="1" applyFont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7" xfId="0" applyFont="1" applyBorder="1" applyAlignment="1">
      <alignment horizontal="center" vertical="top" shrinkToFit="1"/>
    </xf>
    <xf numFmtId="0" fontId="2" fillId="0" borderId="7" xfId="0" applyFont="1" applyBorder="1" applyAlignment="1">
      <alignment horizontal="left" vertical="top" shrinkToFit="1"/>
    </xf>
    <xf numFmtId="0" fontId="2" fillId="0" borderId="8" xfId="0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1" xfId="0" applyFont="1" applyBorder="1"/>
    <xf numFmtId="0" fontId="7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3" xfId="0" applyFont="1" applyBorder="1" applyAlignment="1">
      <alignment horizontal="center" vertical="center" shrinkToFit="1"/>
    </xf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/>
    </xf>
    <xf numFmtId="1" fontId="7" fillId="0" borderId="1" xfId="0" applyNumberFormat="1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0" fontId="7" fillId="0" borderId="2" xfId="0" applyFont="1" applyBorder="1" applyAlignment="1">
      <alignment horizontal="left" shrinkToFit="1"/>
    </xf>
    <xf numFmtId="0" fontId="7" fillId="0" borderId="3" xfId="0" applyFont="1" applyBorder="1" applyAlignment="1">
      <alignment horizontal="left" shrinkToFit="1"/>
    </xf>
    <xf numFmtId="0" fontId="1" fillId="0" borderId="1" xfId="0" applyFont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shrinkToFit="1"/>
    </xf>
    <xf numFmtId="0" fontId="2" fillId="0" borderId="0" xfId="0" applyFont="1" applyAlignment="1">
      <alignment vertical="center"/>
    </xf>
    <xf numFmtId="1" fontId="2" fillId="0" borderId="3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" fontId="7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center" shrinkToFit="1"/>
    </xf>
    <xf numFmtId="0" fontId="2" fillId="0" borderId="1" xfId="0" applyFont="1" applyBorder="1"/>
    <xf numFmtId="0" fontId="2" fillId="0" borderId="4" xfId="0" applyFont="1" applyBorder="1"/>
    <xf numFmtId="0" fontId="2" fillId="0" borderId="9" xfId="0" applyFont="1" applyBorder="1"/>
    <xf numFmtId="0" fontId="10" fillId="0" borderId="1" xfId="0" applyFont="1" applyBorder="1" applyAlignment="1">
      <alignment vertical="top" shrinkToFit="1"/>
    </xf>
    <xf numFmtId="0" fontId="10" fillId="0" borderId="1" xfId="0" applyFont="1" applyBorder="1" applyAlignment="1">
      <alignment shrinkToFit="1"/>
    </xf>
    <xf numFmtId="0" fontId="10" fillId="0" borderId="0" xfId="0" applyFont="1"/>
    <xf numFmtId="0" fontId="11" fillId="0" borderId="0" xfId="0" applyFont="1" applyAlignment="1">
      <alignment vertical="center" shrinkToFit="1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4" fillId="0" borderId="4" xfId="0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shrinkToFit="1"/>
    </xf>
    <xf numFmtId="0" fontId="14" fillId="0" borderId="3" xfId="0" applyFont="1" applyBorder="1" applyAlignment="1">
      <alignment horizontal="left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1" xfId="0" applyFont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4" xfId="0" applyNumberFormat="1" applyFont="1" applyBorder="1" applyAlignment="1">
      <alignment horizontal="center" vertical="top"/>
    </xf>
    <xf numFmtId="0" fontId="14" fillId="0" borderId="0" xfId="0" applyFont="1" applyAlignment="1">
      <alignment vertical="top"/>
    </xf>
    <xf numFmtId="0" fontId="14" fillId="0" borderId="9" xfId="0" applyFont="1" applyBorder="1" applyAlignment="1">
      <alignment vertical="top"/>
    </xf>
    <xf numFmtId="0" fontId="14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10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1" fontId="2" fillId="0" borderId="2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 vertical="top" shrinkToFit="1"/>
    </xf>
    <xf numFmtId="0" fontId="2" fillId="0" borderId="3" xfId="0" applyFont="1" applyBorder="1" applyAlignment="1">
      <alignment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top"/>
    </xf>
    <xf numFmtId="1" fontId="14" fillId="0" borderId="5" xfId="0" applyNumberFormat="1" applyFont="1" applyBorder="1" applyAlignment="1">
      <alignment horizontal="center" vertical="top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shrinkToFit="1"/>
    </xf>
    <xf numFmtId="1" fontId="16" fillId="2" borderId="1" xfId="0" applyNumberFormat="1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17" fillId="0" borderId="0" xfId="0" applyFont="1"/>
    <xf numFmtId="0" fontId="2" fillId="0" borderId="12" xfId="0" applyFont="1" applyBorder="1" applyAlignment="1">
      <alignment horizontal="center" vertical="top"/>
    </xf>
    <xf numFmtId="1" fontId="2" fillId="0" borderId="12" xfId="0" applyNumberFormat="1" applyFont="1" applyBorder="1" applyAlignment="1">
      <alignment horizontal="center" vertical="top"/>
    </xf>
    <xf numFmtId="1" fontId="2" fillId="0" borderId="5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5" xfId="0" applyFont="1" applyBorder="1"/>
    <xf numFmtId="0" fontId="18" fillId="0" borderId="0" xfId="0" applyFont="1"/>
    <xf numFmtId="0" fontId="18" fillId="0" borderId="1" xfId="0" applyFont="1" applyBorder="1" applyAlignment="1">
      <alignment shrinkToFit="1"/>
    </xf>
    <xf numFmtId="0" fontId="18" fillId="0" borderId="1" xfId="0" applyFont="1" applyBorder="1" applyAlignment="1">
      <alignment vertical="top" shrinkToFit="1"/>
    </xf>
    <xf numFmtId="0" fontId="4" fillId="0" borderId="0" xfId="0" applyFont="1" applyAlignment="1">
      <alignment horizontal="center" vertical="center" shrinkToFit="1"/>
    </xf>
    <xf numFmtId="1" fontId="4" fillId="0" borderId="0" xfId="0" applyNumberFormat="1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 shrinkToFit="1"/>
    </xf>
    <xf numFmtId="0" fontId="15" fillId="3" borderId="1" xfId="0" applyFont="1" applyFill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shrinkToFit="1"/>
    </xf>
    <xf numFmtId="0" fontId="15" fillId="0" borderId="3" xfId="0" applyFont="1" applyBorder="1" applyAlignment="1">
      <alignment horizontal="left" vertical="top" shrinkToFit="1"/>
    </xf>
    <xf numFmtId="1" fontId="15" fillId="0" borderId="1" xfId="0" applyNumberFormat="1" applyFont="1" applyBorder="1" applyAlignment="1">
      <alignment horizontal="center" vertical="top"/>
    </xf>
    <xf numFmtId="0" fontId="15" fillId="0" borderId="2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1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 shrinkToFit="1"/>
    </xf>
    <xf numFmtId="0" fontId="7" fillId="0" borderId="1" xfId="0" applyFont="1" applyBorder="1"/>
    <xf numFmtId="1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shrinkToFit="1"/>
    </xf>
    <xf numFmtId="0" fontId="2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 vertical="top" shrinkToFit="1"/>
    </xf>
    <xf numFmtId="0" fontId="2" fillId="0" borderId="13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shrinkToFit="1"/>
    </xf>
    <xf numFmtId="0" fontId="10" fillId="0" borderId="2" xfId="0" applyFont="1" applyBorder="1" applyAlignment="1">
      <alignment horizontal="left" vertical="top" shrinkToFit="1"/>
    </xf>
    <xf numFmtId="0" fontId="10" fillId="0" borderId="3" xfId="0" applyFont="1" applyBorder="1" applyAlignment="1">
      <alignment horizontal="left" vertical="top" shrinkToFit="1"/>
    </xf>
    <xf numFmtId="0" fontId="2" fillId="0" borderId="13" xfId="0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top" shrinkToFit="1"/>
    </xf>
    <xf numFmtId="0" fontId="21" fillId="0" borderId="2" xfId="0" applyFont="1" applyBorder="1" applyAlignment="1">
      <alignment horizontal="left" vertical="center" shrinkToFit="1"/>
    </xf>
    <xf numFmtId="0" fontId="21" fillId="0" borderId="3" xfId="0" applyFont="1" applyBorder="1" applyAlignment="1">
      <alignment horizontal="left" vertical="top" shrinkToFit="1"/>
    </xf>
    <xf numFmtId="0" fontId="19" fillId="0" borderId="1" xfId="0" applyFont="1" applyBorder="1" applyAlignment="1">
      <alignment vertical="top" shrinkToFit="1"/>
    </xf>
    <xf numFmtId="0" fontId="2" fillId="0" borderId="1" xfId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16" fillId="0" borderId="0" xfId="0" applyFont="1" applyAlignment="1">
      <alignment horizontal="center" vertical="center" shrinkToFit="1"/>
    </xf>
    <xf numFmtId="1" fontId="16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top" shrinkToFi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top" shrinkToFit="1"/>
    </xf>
    <xf numFmtId="0" fontId="9" fillId="0" borderId="10" xfId="0" applyFont="1" applyBorder="1" applyAlignment="1">
      <alignment horizontal="center" vertical="top" shrinkToFi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shrinkToFit="1"/>
    </xf>
    <xf numFmtId="0" fontId="1" fillId="0" borderId="10" xfId="0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shrinkToFit="1"/>
    </xf>
    <xf numFmtId="164" fontId="7" fillId="0" borderId="4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left"/>
    </xf>
    <xf numFmtId="1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/>
    </xf>
    <xf numFmtId="1" fontId="7" fillId="0" borderId="13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left"/>
    </xf>
    <xf numFmtId="0" fontId="7" fillId="0" borderId="8" xfId="0" applyFont="1" applyBorder="1"/>
    <xf numFmtId="1" fontId="7" fillId="0" borderId="6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left"/>
    </xf>
    <xf numFmtId="0" fontId="7" fillId="0" borderId="11" xfId="0" applyFont="1" applyBorder="1"/>
    <xf numFmtId="164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ปกติ" xfId="0" builtinId="0"/>
    <cellStyle name="ปกติ 2" xfId="1" xr:uid="{D6FD77DA-1500-4561-818D-1FECF1F83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50;&#3619;&#3591;&#3648;&#3619;&#3637;&#3618;&#3609;&#3610;&#3657;&#3634;&#3609;&#3650;&#3611;&#3656;&#3591;&#3649;&#3617;&#3621;&#3591;&#3623;&#3633;&#3609;/&#3591;&#3634;&#3609;DMC65/&#3592;&#3635;&#3609;&#3623;&#3609;&#3609;&#3633;&#3585;&#3648;&#3619;&#3637;&#3618;&#3609;&#3626;&#3656;&#3591;&#3648;&#3607;&#3624;&#3610;&#3634;&#3621;-&#3611;&#3637;&#3585;&#3634;&#3619;&#3624;&#3638;&#3585;&#3625;&#3634;-2565%20&#3616;&#3634;&#3588;&#3648;&#3619;&#3637;&#3618;&#3609;&#3607;&#3637;&#3656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อนุบาลที่ 1"/>
      <sheetName val="อนุบาลที่ 2"/>
      <sheetName val="อนุบาลที่ 3"/>
      <sheetName val="ป.1"/>
      <sheetName val="ป.2"/>
      <sheetName val="ป.3"/>
      <sheetName val="ป.4"/>
      <sheetName val="ป.5"/>
      <sheetName val="ป.6"/>
      <sheetName val="ม.1"/>
      <sheetName val="ม.2"/>
      <sheetName val="ม.3"/>
      <sheetName val="รวม"/>
    </sheetNames>
    <sheetDataSet>
      <sheetData sheetId="0">
        <row r="25">
          <cell r="D25" t="str">
            <v>เด็กหญิง</v>
          </cell>
        </row>
      </sheetData>
      <sheetData sheetId="1"/>
      <sheetData sheetId="2">
        <row r="17">
          <cell r="E17" t="str">
            <v>กัลญาพร</v>
          </cell>
          <cell r="F17" t="str">
            <v>พงษ์โคกกรวด</v>
          </cell>
        </row>
        <row r="19">
          <cell r="E19" t="str">
            <v>ประภัสญาภรณ์</v>
          </cell>
          <cell r="F19" t="str">
            <v>ศรีประภา</v>
          </cell>
        </row>
        <row r="20">
          <cell r="E20" t="str">
            <v>ประภัสราภรณ์</v>
          </cell>
          <cell r="F20" t="str">
            <v>ศรีประภา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A1FC-5AAA-4688-9819-F75A0F03EDC9}">
  <dimension ref="A1:M25"/>
  <sheetViews>
    <sheetView zoomScale="70" zoomScaleNormal="70" workbookViewId="0">
      <selection activeCell="A4" sqref="A4:A5"/>
    </sheetView>
  </sheetViews>
  <sheetFormatPr defaultColWidth="8.6328125" defaultRowHeight="17"/>
  <cols>
    <col min="1" max="1" width="23.7265625" style="2" customWidth="1"/>
    <col min="2" max="2" width="14.26953125" style="2" customWidth="1"/>
    <col min="3" max="4" width="13.90625" style="2" customWidth="1"/>
    <col min="5" max="5" width="13.36328125" style="2" customWidth="1"/>
    <col min="6" max="6" width="5.7265625" style="2" customWidth="1"/>
    <col min="7" max="13" width="4.08984375" style="2" customWidth="1"/>
    <col min="14" max="92" width="9.08984375" style="2" customWidth="1"/>
    <col min="93" max="16384" width="8.6328125" style="2"/>
  </cols>
  <sheetData>
    <row r="1" spans="1:13" s="1" customFormat="1" ht="27" customHeight="1">
      <c r="A1" s="120"/>
      <c r="B1" s="120"/>
      <c r="C1" s="120"/>
      <c r="D1" s="120"/>
      <c r="E1" s="120"/>
      <c r="F1" s="3"/>
      <c r="G1" s="3"/>
      <c r="H1" s="3"/>
      <c r="I1" s="3"/>
      <c r="J1" s="3"/>
      <c r="K1" s="3"/>
      <c r="L1" s="3"/>
      <c r="M1" s="3"/>
    </row>
    <row r="2" spans="1:13" s="1" customFormat="1" ht="27" customHeight="1">
      <c r="A2" s="210" t="s">
        <v>459</v>
      </c>
      <c r="B2" s="210"/>
      <c r="C2" s="210"/>
      <c r="D2" s="210"/>
      <c r="E2" s="210"/>
      <c r="F2" s="4"/>
      <c r="G2" s="4"/>
      <c r="H2" s="4"/>
      <c r="I2" s="4"/>
      <c r="J2" s="4"/>
      <c r="K2" s="4"/>
      <c r="L2" s="4"/>
      <c r="M2" s="4"/>
    </row>
    <row r="3" spans="1:13" s="1" customFormat="1" ht="27" customHeight="1">
      <c r="A3" s="211" t="s">
        <v>460</v>
      </c>
      <c r="B3" s="211"/>
      <c r="C3" s="211"/>
      <c r="D3" s="211"/>
      <c r="E3" s="211"/>
      <c r="F3" s="5"/>
      <c r="G3" s="5"/>
      <c r="H3" s="5"/>
      <c r="I3" s="5"/>
      <c r="J3" s="5"/>
      <c r="K3" s="5"/>
      <c r="L3" s="5"/>
      <c r="M3" s="5"/>
    </row>
    <row r="4" spans="1:13" s="1" customFormat="1" ht="27" customHeight="1">
      <c r="A4" s="215" t="s">
        <v>207</v>
      </c>
      <c r="B4" s="214" t="s">
        <v>208</v>
      </c>
      <c r="C4" s="214"/>
      <c r="D4" s="214"/>
      <c r="E4" s="215" t="s">
        <v>212</v>
      </c>
      <c r="F4" s="6"/>
    </row>
    <row r="5" spans="1:13" s="1" customFormat="1" ht="27" customHeight="1">
      <c r="A5" s="215"/>
      <c r="B5" s="155" t="s">
        <v>209</v>
      </c>
      <c r="C5" s="154" t="s">
        <v>210</v>
      </c>
      <c r="D5" s="154" t="s">
        <v>211</v>
      </c>
      <c r="E5" s="215"/>
      <c r="F5" s="6"/>
    </row>
    <row r="6" spans="1:13" s="1" customFormat="1" ht="27" customHeight="1">
      <c r="A6" s="148" t="s">
        <v>213</v>
      </c>
      <c r="B6" s="149">
        <v>10</v>
      </c>
      <c r="C6" s="149">
        <v>8</v>
      </c>
      <c r="D6" s="149">
        <f>SUM(B6:C6)</f>
        <v>18</v>
      </c>
      <c r="E6" s="149"/>
      <c r="G6" s="158"/>
    </row>
    <row r="7" spans="1:13" s="1" customFormat="1" ht="27" customHeight="1">
      <c r="A7" s="148" t="s">
        <v>214</v>
      </c>
      <c r="B7" s="149">
        <v>8</v>
      </c>
      <c r="C7" s="149">
        <v>9</v>
      </c>
      <c r="D7" s="149">
        <f>SUM(B7:C7)</f>
        <v>17</v>
      </c>
      <c r="E7" s="149"/>
      <c r="G7" s="158"/>
    </row>
    <row r="8" spans="1:13" s="1" customFormat="1" ht="27" customHeight="1">
      <c r="A8" s="148" t="s">
        <v>274</v>
      </c>
      <c r="B8" s="149">
        <v>12</v>
      </c>
      <c r="C8" s="149">
        <v>5</v>
      </c>
      <c r="D8" s="149">
        <f>SUM(B8:C8)</f>
        <v>17</v>
      </c>
      <c r="E8" s="149"/>
    </row>
    <row r="9" spans="1:13" s="1" customFormat="1" ht="27" customHeight="1">
      <c r="A9" s="152" t="s">
        <v>211</v>
      </c>
      <c r="B9" s="153">
        <f>SUM(B6:B8)</f>
        <v>30</v>
      </c>
      <c r="C9" s="153">
        <f>SUM(C6:C8)</f>
        <v>22</v>
      </c>
      <c r="D9" s="153">
        <f>SUM(D6:D8)</f>
        <v>52</v>
      </c>
      <c r="E9" s="156"/>
    </row>
    <row r="10" spans="1:13" s="1" customFormat="1" ht="27" customHeight="1">
      <c r="A10" s="148" t="s">
        <v>215</v>
      </c>
      <c r="B10" s="149">
        <v>15</v>
      </c>
      <c r="C10" s="149">
        <v>18</v>
      </c>
      <c r="D10" s="149">
        <f t="shared" ref="D10:D15" si="0">SUM(B10:C10)</f>
        <v>33</v>
      </c>
      <c r="E10" s="149"/>
    </row>
    <row r="11" spans="1:13" s="1" customFormat="1" ht="27" customHeight="1">
      <c r="A11" s="148" t="s">
        <v>216</v>
      </c>
      <c r="B11" s="149">
        <v>13</v>
      </c>
      <c r="C11" s="149">
        <v>6</v>
      </c>
      <c r="D11" s="149">
        <f t="shared" si="0"/>
        <v>19</v>
      </c>
      <c r="E11" s="149"/>
    </row>
    <row r="12" spans="1:13" s="1" customFormat="1" ht="27" customHeight="1">
      <c r="A12" s="148" t="s">
        <v>217</v>
      </c>
      <c r="B12" s="149">
        <v>17</v>
      </c>
      <c r="C12" s="149">
        <v>10</v>
      </c>
      <c r="D12" s="149">
        <f t="shared" si="0"/>
        <v>27</v>
      </c>
      <c r="E12" s="149"/>
    </row>
    <row r="13" spans="1:13" ht="27" customHeight="1">
      <c r="A13" s="148" t="s">
        <v>275</v>
      </c>
      <c r="B13" s="149">
        <v>12</v>
      </c>
      <c r="C13" s="149">
        <v>9</v>
      </c>
      <c r="D13" s="149">
        <f t="shared" si="0"/>
        <v>21</v>
      </c>
      <c r="E13" s="149"/>
    </row>
    <row r="14" spans="1:13" ht="27" customHeight="1">
      <c r="A14" s="148" t="s">
        <v>218</v>
      </c>
      <c r="B14" s="149">
        <v>17</v>
      </c>
      <c r="C14" s="149">
        <v>5</v>
      </c>
      <c r="D14" s="149">
        <f t="shared" si="0"/>
        <v>22</v>
      </c>
      <c r="E14" s="149"/>
    </row>
    <row r="15" spans="1:13" ht="27" customHeight="1">
      <c r="A15" s="148" t="s">
        <v>276</v>
      </c>
      <c r="B15" s="149">
        <v>10</v>
      </c>
      <c r="C15" s="149">
        <v>11</v>
      </c>
      <c r="D15" s="149">
        <f t="shared" si="0"/>
        <v>21</v>
      </c>
      <c r="E15" s="149"/>
    </row>
    <row r="16" spans="1:13" ht="27" customHeight="1">
      <c r="A16" s="152" t="s">
        <v>211</v>
      </c>
      <c r="B16" s="153">
        <f>SUM(B10:B15)</f>
        <v>84</v>
      </c>
      <c r="C16" s="153">
        <f>SUM(C10:C15)</f>
        <v>59</v>
      </c>
      <c r="D16" s="153">
        <f>SUM(D10:D15)</f>
        <v>143</v>
      </c>
      <c r="E16" s="156"/>
    </row>
    <row r="17" spans="1:5" ht="27" customHeight="1">
      <c r="A17" s="148" t="s">
        <v>219</v>
      </c>
      <c r="B17" s="149">
        <v>18</v>
      </c>
      <c r="C17" s="149">
        <v>9</v>
      </c>
      <c r="D17" s="149">
        <f>SUM(B17:C17)</f>
        <v>27</v>
      </c>
      <c r="E17" s="149"/>
    </row>
    <row r="18" spans="1:5" ht="27" customHeight="1">
      <c r="A18" s="148" t="s">
        <v>220</v>
      </c>
      <c r="B18" s="149">
        <v>10</v>
      </c>
      <c r="C18" s="149">
        <v>10</v>
      </c>
      <c r="D18" s="149">
        <f>SUM(B18:C18)</f>
        <v>20</v>
      </c>
      <c r="E18" s="149"/>
    </row>
    <row r="19" spans="1:5" ht="27" customHeight="1">
      <c r="A19" s="148" t="s">
        <v>221</v>
      </c>
      <c r="B19" s="149">
        <v>11</v>
      </c>
      <c r="C19" s="149">
        <v>7</v>
      </c>
      <c r="D19" s="149">
        <f>SUM(B19:C19)</f>
        <v>18</v>
      </c>
      <c r="E19" s="149"/>
    </row>
    <row r="20" spans="1:5" ht="27" customHeight="1">
      <c r="A20" s="152" t="s">
        <v>211</v>
      </c>
      <c r="B20" s="153">
        <f>SUM(B17:B19)</f>
        <v>39</v>
      </c>
      <c r="C20" s="153">
        <f>SUM(C17:C19)</f>
        <v>26</v>
      </c>
      <c r="D20" s="153">
        <f>SUM(D17:D19)</f>
        <v>65</v>
      </c>
      <c r="E20" s="156"/>
    </row>
    <row r="21" spans="1:5" ht="27" customHeight="1">
      <c r="A21" s="152" t="s">
        <v>222</v>
      </c>
      <c r="B21" s="153">
        <f>SUM(B20,B16,B9)</f>
        <v>153</v>
      </c>
      <c r="C21" s="153">
        <f>SUM(C20,C16,C9)</f>
        <v>107</v>
      </c>
      <c r="D21" s="153">
        <f>SUM(B21:C21)</f>
        <v>260</v>
      </c>
      <c r="E21" s="153"/>
    </row>
    <row r="22" spans="1:5" ht="25" customHeight="1">
      <c r="A22" s="121"/>
      <c r="B22" s="122"/>
      <c r="C22" s="122"/>
      <c r="D22" s="122"/>
      <c r="E22" s="122"/>
    </row>
    <row r="23" spans="1:5" ht="25" customHeight="1">
      <c r="A23" s="123"/>
      <c r="B23" s="212"/>
      <c r="C23" s="212"/>
      <c r="D23" s="212"/>
      <c r="E23" s="212"/>
    </row>
    <row r="24" spans="1:5" ht="25" customHeight="1">
      <c r="A24" s="1"/>
      <c r="B24" s="213"/>
      <c r="C24" s="213"/>
      <c r="D24" s="213"/>
      <c r="E24" s="213"/>
    </row>
    <row r="25" spans="1:5" ht="25" customHeight="1">
      <c r="B25" s="213"/>
      <c r="C25" s="213"/>
      <c r="D25" s="213"/>
      <c r="E25" s="213"/>
    </row>
  </sheetData>
  <mergeCells count="8">
    <mergeCell ref="A2:E2"/>
    <mergeCell ref="A3:E3"/>
    <mergeCell ref="B23:E23"/>
    <mergeCell ref="B24:E24"/>
    <mergeCell ref="B25:E25"/>
    <mergeCell ref="B4:D4"/>
    <mergeCell ref="E4:E5"/>
    <mergeCell ref="A4:A5"/>
  </mergeCells>
  <pageMargins left="1.01" right="0.51" top="0.6" bottom="0.44" header="0.32" footer="0.3"/>
  <pageSetup paperSize="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9F66-B95E-4F4D-BF6C-265486A369B0}">
  <dimension ref="A1:P34"/>
  <sheetViews>
    <sheetView tabSelected="1" zoomScale="80" zoomScaleNormal="80" workbookViewId="0">
      <selection activeCell="C21" sqref="C21"/>
    </sheetView>
  </sheetViews>
  <sheetFormatPr defaultColWidth="8.6328125" defaultRowHeight="14.5"/>
  <cols>
    <col min="1" max="1" width="5.6328125" style="7" customWidth="1"/>
    <col min="2" max="2" width="9.08984375" style="7" customWidth="1"/>
    <col min="3" max="3" width="18.08984375" style="7" customWidth="1"/>
    <col min="4" max="4" width="8.6328125" style="7" customWidth="1"/>
    <col min="5" max="5" width="16.1796875" style="7" customWidth="1"/>
    <col min="6" max="6" width="12.90625" style="7" customWidth="1"/>
    <col min="7" max="11" width="4.08984375" style="7" customWidth="1"/>
    <col min="12" max="90" width="9.08984375" style="7" customWidth="1"/>
    <col min="91" max="16384" width="8.6328125" style="7"/>
  </cols>
  <sheetData>
    <row r="1" spans="1:16" ht="20.25" customHeight="1">
      <c r="A1" s="216" t="s">
        <v>461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</row>
    <row r="2" spans="1:16" s="8" customFormat="1" ht="21" customHeight="1">
      <c r="A2" s="217" t="s">
        <v>451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16" s="8" customFormat="1" ht="20.5">
      <c r="A3" s="9" t="s">
        <v>159</v>
      </c>
      <c r="B3" s="9" t="s">
        <v>1</v>
      </c>
      <c r="C3" s="9" t="s">
        <v>0</v>
      </c>
      <c r="D3" s="218" t="s">
        <v>160</v>
      </c>
      <c r="E3" s="218"/>
      <c r="F3" s="218"/>
      <c r="G3" s="10"/>
      <c r="H3" s="10"/>
      <c r="I3" s="10"/>
      <c r="J3" s="10"/>
      <c r="K3" s="10"/>
    </row>
    <row r="4" spans="1:16" s="8" customFormat="1" ht="20" customHeight="1">
      <c r="A4" s="11">
        <v>1</v>
      </c>
      <c r="B4" s="12">
        <v>1879</v>
      </c>
      <c r="C4" s="232">
        <v>1309500128018</v>
      </c>
      <c r="D4" s="50" t="s">
        <v>2</v>
      </c>
      <c r="E4" s="233" t="s">
        <v>393</v>
      </c>
      <c r="F4" s="53" t="s">
        <v>19</v>
      </c>
      <c r="G4" s="17"/>
      <c r="H4" s="17"/>
      <c r="I4" s="17"/>
      <c r="J4" s="17"/>
      <c r="K4" s="17"/>
      <c r="P4" s="234"/>
    </row>
    <row r="5" spans="1:16" s="8" customFormat="1" ht="20" customHeight="1">
      <c r="A5" s="11">
        <v>2</v>
      </c>
      <c r="B5" s="11">
        <v>1880</v>
      </c>
      <c r="C5" s="235">
        <v>1300101324281</v>
      </c>
      <c r="D5" s="50" t="s">
        <v>2</v>
      </c>
      <c r="E5" s="76" t="s">
        <v>398</v>
      </c>
      <c r="F5" s="77" t="s">
        <v>399</v>
      </c>
      <c r="G5" s="17"/>
      <c r="H5" s="17"/>
      <c r="I5" s="17"/>
      <c r="J5" s="17"/>
      <c r="K5" s="17"/>
    </row>
    <row r="6" spans="1:16" s="8" customFormat="1" ht="20" customHeight="1">
      <c r="A6" s="11">
        <v>3</v>
      </c>
      <c r="B6" s="12">
        <v>1881</v>
      </c>
      <c r="C6" s="232">
        <v>1309500126121</v>
      </c>
      <c r="D6" s="236" t="s">
        <v>2</v>
      </c>
      <c r="E6" s="237" t="s">
        <v>400</v>
      </c>
      <c r="F6" s="238" t="s">
        <v>182</v>
      </c>
      <c r="G6" s="17"/>
      <c r="H6" s="17"/>
      <c r="I6" s="17"/>
      <c r="J6" s="17"/>
      <c r="K6" s="17"/>
      <c r="P6" s="234"/>
    </row>
    <row r="7" spans="1:16" s="8" customFormat="1" ht="20" customHeight="1">
      <c r="A7" s="11">
        <v>4</v>
      </c>
      <c r="B7" s="11">
        <v>1882</v>
      </c>
      <c r="C7" s="232">
        <v>1309904952324</v>
      </c>
      <c r="D7" s="50" t="s">
        <v>2</v>
      </c>
      <c r="E7" s="233" t="s">
        <v>396</v>
      </c>
      <c r="F7" s="77" t="s">
        <v>397</v>
      </c>
      <c r="G7" s="17"/>
      <c r="H7" s="17"/>
      <c r="I7" s="17"/>
      <c r="J7" s="17"/>
      <c r="K7" s="17"/>
      <c r="P7" s="234"/>
    </row>
    <row r="8" spans="1:16" s="8" customFormat="1" ht="20" customHeight="1">
      <c r="A8" s="11">
        <v>5</v>
      </c>
      <c r="B8" s="12">
        <v>1883</v>
      </c>
      <c r="C8" s="232">
        <v>1311000224185</v>
      </c>
      <c r="D8" s="50" t="s">
        <v>2</v>
      </c>
      <c r="E8" s="233" t="s">
        <v>20</v>
      </c>
      <c r="F8" s="77" t="s">
        <v>249</v>
      </c>
      <c r="G8" s="17"/>
      <c r="H8" s="17"/>
      <c r="I8" s="17"/>
      <c r="J8" s="17"/>
      <c r="K8" s="17"/>
      <c r="P8" s="234"/>
    </row>
    <row r="9" spans="1:16" s="8" customFormat="1" ht="20" customHeight="1">
      <c r="A9" s="11">
        <v>6</v>
      </c>
      <c r="B9" s="11">
        <v>1884</v>
      </c>
      <c r="C9" s="232">
        <v>1102005132737</v>
      </c>
      <c r="D9" s="50" t="s">
        <v>2</v>
      </c>
      <c r="E9" s="233" t="s">
        <v>394</v>
      </c>
      <c r="F9" s="77" t="s">
        <v>395</v>
      </c>
      <c r="G9" s="17"/>
      <c r="H9" s="17"/>
      <c r="I9" s="17"/>
      <c r="J9" s="17"/>
      <c r="K9" s="17"/>
      <c r="P9" s="234"/>
    </row>
    <row r="10" spans="1:16" s="8" customFormat="1" ht="20" customHeight="1">
      <c r="A10" s="11">
        <v>7</v>
      </c>
      <c r="B10" s="12">
        <v>1885</v>
      </c>
      <c r="C10" s="232">
        <v>1309500129120</v>
      </c>
      <c r="D10" s="50" t="s">
        <v>2</v>
      </c>
      <c r="E10" s="233" t="s">
        <v>391</v>
      </c>
      <c r="F10" s="53" t="s">
        <v>392</v>
      </c>
      <c r="G10" s="17"/>
      <c r="H10" s="17"/>
      <c r="I10" s="17"/>
      <c r="J10" s="17"/>
      <c r="K10" s="17"/>
    </row>
    <row r="11" spans="1:16" s="8" customFormat="1" ht="20" customHeight="1">
      <c r="A11" s="11">
        <v>8</v>
      </c>
      <c r="B11" s="11">
        <v>1886</v>
      </c>
      <c r="C11" s="232">
        <v>1309500120564</v>
      </c>
      <c r="D11" s="51" t="s">
        <v>2</v>
      </c>
      <c r="E11" s="76" t="s">
        <v>418</v>
      </c>
      <c r="F11" s="77" t="s">
        <v>14</v>
      </c>
      <c r="G11" s="74"/>
      <c r="H11" s="17"/>
      <c r="I11" s="17"/>
      <c r="J11" s="17"/>
      <c r="K11" s="17"/>
      <c r="P11" s="234"/>
    </row>
    <row r="12" spans="1:16" s="8" customFormat="1" ht="20" customHeight="1">
      <c r="A12" s="11">
        <v>9</v>
      </c>
      <c r="B12" s="55">
        <v>1887</v>
      </c>
      <c r="C12" s="232">
        <v>1309500120572</v>
      </c>
      <c r="D12" s="51" t="s">
        <v>2</v>
      </c>
      <c r="E12" s="76" t="s">
        <v>414</v>
      </c>
      <c r="F12" s="77" t="s">
        <v>415</v>
      </c>
      <c r="G12" s="77"/>
      <c r="H12" s="185"/>
      <c r="I12" s="185"/>
      <c r="J12" s="185"/>
      <c r="K12" s="185"/>
    </row>
    <row r="13" spans="1:16" s="8" customFormat="1" ht="20" customHeight="1">
      <c r="A13" s="11">
        <v>10</v>
      </c>
      <c r="B13" s="11">
        <v>1888</v>
      </c>
      <c r="C13" s="232">
        <v>1309500123911</v>
      </c>
      <c r="D13" s="51" t="s">
        <v>2</v>
      </c>
      <c r="E13" s="76" t="s">
        <v>428</v>
      </c>
      <c r="F13" s="77" t="s">
        <v>429</v>
      </c>
      <c r="G13" s="17"/>
      <c r="H13" s="17"/>
      <c r="I13" s="17"/>
      <c r="J13" s="17"/>
      <c r="K13" s="17"/>
      <c r="P13" s="234"/>
    </row>
    <row r="14" spans="1:16" s="8" customFormat="1" ht="20" customHeight="1">
      <c r="A14" s="11">
        <v>11</v>
      </c>
      <c r="B14" s="12">
        <v>1889</v>
      </c>
      <c r="C14" s="232">
        <v>1309500130578</v>
      </c>
      <c r="D14" s="239" t="s">
        <v>34</v>
      </c>
      <c r="E14" s="240" t="s">
        <v>401</v>
      </c>
      <c r="F14" s="241" t="s">
        <v>402</v>
      </c>
      <c r="G14" s="17"/>
      <c r="H14" s="17"/>
      <c r="I14" s="17"/>
      <c r="J14" s="17"/>
      <c r="K14" s="17"/>
      <c r="P14" s="234"/>
    </row>
    <row r="15" spans="1:16" s="8" customFormat="1" ht="20" customHeight="1">
      <c r="A15" s="11">
        <v>12</v>
      </c>
      <c r="B15" s="11">
        <v>1890</v>
      </c>
      <c r="C15" s="232">
        <v>1300101325768</v>
      </c>
      <c r="D15" s="50" t="s">
        <v>34</v>
      </c>
      <c r="E15" s="233" t="s">
        <v>407</v>
      </c>
      <c r="F15" s="77" t="s">
        <v>271</v>
      </c>
      <c r="G15" s="17"/>
      <c r="H15" s="17"/>
      <c r="I15" s="17"/>
      <c r="J15" s="17"/>
      <c r="K15" s="17"/>
      <c r="P15" s="234"/>
    </row>
    <row r="16" spans="1:16" s="8" customFormat="1" ht="20" customHeight="1">
      <c r="A16" s="11">
        <v>13</v>
      </c>
      <c r="B16" s="12">
        <v>1891</v>
      </c>
      <c r="C16" s="232">
        <v>1309500122567</v>
      </c>
      <c r="D16" s="50" t="s">
        <v>34</v>
      </c>
      <c r="E16" s="233" t="s">
        <v>405</v>
      </c>
      <c r="F16" s="77" t="s">
        <v>406</v>
      </c>
      <c r="G16" s="28"/>
      <c r="H16" s="28"/>
      <c r="I16" s="28"/>
      <c r="J16" s="28"/>
      <c r="K16" s="28"/>
      <c r="P16" s="234"/>
    </row>
    <row r="17" spans="1:16" s="8" customFormat="1" ht="20" customHeight="1">
      <c r="A17" s="11">
        <v>14</v>
      </c>
      <c r="B17" s="11">
        <v>1892</v>
      </c>
      <c r="C17" s="232">
        <v>1309904945492</v>
      </c>
      <c r="D17" s="50" t="s">
        <v>34</v>
      </c>
      <c r="E17" s="233" t="s">
        <v>403</v>
      </c>
      <c r="F17" s="77" t="s">
        <v>404</v>
      </c>
      <c r="G17" s="28"/>
      <c r="H17" s="28"/>
      <c r="I17" s="28"/>
      <c r="J17" s="28"/>
      <c r="K17" s="28"/>
      <c r="P17" s="234"/>
    </row>
    <row r="18" spans="1:16" s="8" customFormat="1" ht="20" customHeight="1">
      <c r="A18" s="29">
        <v>15</v>
      </c>
      <c r="B18" s="12">
        <v>1893</v>
      </c>
      <c r="C18" s="232">
        <v>1309500121269</v>
      </c>
      <c r="D18" s="50" t="s">
        <v>34</v>
      </c>
      <c r="E18" s="233" t="s">
        <v>409</v>
      </c>
      <c r="F18" s="77" t="s">
        <v>410</v>
      </c>
      <c r="G18" s="34"/>
      <c r="H18" s="34"/>
      <c r="I18" s="34"/>
      <c r="J18" s="34"/>
      <c r="K18" s="34"/>
      <c r="P18" s="234"/>
    </row>
    <row r="19" spans="1:16" s="36" customFormat="1" ht="20" customHeight="1">
      <c r="A19" s="11">
        <v>16</v>
      </c>
      <c r="B19" s="11">
        <v>1894</v>
      </c>
      <c r="C19" s="232">
        <v>1309500122826</v>
      </c>
      <c r="D19" s="50" t="s">
        <v>34</v>
      </c>
      <c r="E19" s="233" t="s">
        <v>408</v>
      </c>
      <c r="F19" s="77" t="s">
        <v>31</v>
      </c>
      <c r="G19" s="34"/>
      <c r="H19" s="34"/>
      <c r="I19" s="34"/>
      <c r="J19" s="34"/>
      <c r="K19" s="34"/>
      <c r="P19" s="234"/>
    </row>
    <row r="20" spans="1:16" s="8" customFormat="1" ht="20" customHeight="1">
      <c r="A20" s="29">
        <v>17</v>
      </c>
      <c r="B20" s="11">
        <v>1895</v>
      </c>
      <c r="C20" s="232">
        <v>1309904948599</v>
      </c>
      <c r="D20" s="50" t="s">
        <v>34</v>
      </c>
      <c r="E20" s="233" t="s">
        <v>411</v>
      </c>
      <c r="F20" s="77" t="s">
        <v>412</v>
      </c>
      <c r="G20" s="34"/>
      <c r="H20" s="34"/>
      <c r="I20" s="34"/>
      <c r="J20" s="34"/>
      <c r="K20" s="34"/>
    </row>
    <row r="21" spans="1:16" s="8" customFormat="1" ht="20" customHeight="1">
      <c r="A21" s="29">
        <v>18</v>
      </c>
      <c r="B21" s="29">
        <v>1906</v>
      </c>
      <c r="C21" s="242">
        <v>1219901861698</v>
      </c>
      <c r="D21" s="76" t="s">
        <v>34</v>
      </c>
      <c r="E21" s="76" t="s">
        <v>453</v>
      </c>
      <c r="F21" s="77" t="s">
        <v>454</v>
      </c>
      <c r="G21" s="34"/>
      <c r="H21" s="34"/>
      <c r="I21" s="34"/>
      <c r="J21" s="34"/>
      <c r="K21" s="34"/>
    </row>
    <row r="22" spans="1:16" s="36" customFormat="1" ht="21" customHeight="1">
      <c r="A22" s="29"/>
      <c r="B22" s="29"/>
      <c r="C22" s="30"/>
      <c r="D22" s="31"/>
      <c r="E22" s="32"/>
      <c r="F22" s="33"/>
      <c r="G22" s="35"/>
      <c r="H22" s="35"/>
      <c r="I22" s="35"/>
      <c r="J22" s="35"/>
      <c r="K22" s="35"/>
    </row>
    <row r="23" spans="1:16" s="8" customFormat="1" ht="20.5">
      <c r="A23" s="29"/>
      <c r="B23" s="29"/>
      <c r="C23" s="30"/>
      <c r="D23" s="31"/>
      <c r="E23" s="32"/>
      <c r="F23" s="33"/>
      <c r="G23" s="34"/>
      <c r="H23" s="34"/>
      <c r="I23" s="34"/>
      <c r="J23" s="34"/>
      <c r="K23" s="34"/>
    </row>
    <row r="24" spans="1:16" s="8" customFormat="1" ht="20.5">
      <c r="A24" s="29"/>
      <c r="B24" s="29"/>
      <c r="C24" s="30"/>
      <c r="D24" s="31"/>
      <c r="E24" s="32"/>
      <c r="F24" s="33"/>
      <c r="G24" s="34"/>
      <c r="H24" s="34"/>
      <c r="I24" s="34"/>
      <c r="J24" s="34"/>
      <c r="K24" s="34"/>
    </row>
    <row r="25" spans="1:16" s="8" customFormat="1" ht="20.5">
      <c r="A25" s="29"/>
      <c r="B25" s="29"/>
      <c r="C25" s="30"/>
      <c r="D25" s="31"/>
      <c r="E25" s="32"/>
      <c r="F25" s="33"/>
      <c r="G25" s="34"/>
      <c r="H25" s="34"/>
      <c r="I25" s="34"/>
      <c r="J25" s="34"/>
      <c r="K25" s="34"/>
    </row>
    <row r="26" spans="1:16" s="8" customFormat="1" ht="20.5">
      <c r="A26" s="29"/>
      <c r="B26" s="37"/>
      <c r="C26" s="38"/>
      <c r="D26" s="39"/>
      <c r="E26" s="40"/>
      <c r="F26" s="41"/>
      <c r="G26" s="34"/>
      <c r="H26" s="34"/>
      <c r="I26" s="34"/>
      <c r="J26" s="34"/>
      <c r="K26" s="34"/>
    </row>
    <row r="27" spans="1:16" s="8" customFormat="1" ht="20.5">
      <c r="A27" s="29"/>
      <c r="B27" s="37"/>
      <c r="C27" s="38"/>
      <c r="D27" s="39"/>
      <c r="E27" s="40"/>
      <c r="F27" s="41"/>
      <c r="G27" s="34"/>
      <c r="H27" s="34"/>
      <c r="I27" s="34"/>
      <c r="J27" s="34"/>
      <c r="K27" s="34"/>
    </row>
    <row r="28" spans="1:16" ht="20.5">
      <c r="A28" s="29"/>
      <c r="B28" s="37"/>
      <c r="C28" s="38"/>
      <c r="D28" s="39"/>
      <c r="E28" s="40"/>
      <c r="F28" s="41"/>
      <c r="G28" s="34"/>
      <c r="H28" s="34"/>
      <c r="I28" s="34"/>
      <c r="J28" s="34"/>
      <c r="K28" s="34"/>
    </row>
    <row r="30" spans="1:16" ht="25" customHeight="1">
      <c r="A30" s="8"/>
      <c r="B30" s="8"/>
      <c r="C30" s="8"/>
    </row>
    <row r="31" spans="1:16" ht="25" customHeight="1">
      <c r="A31" s="8"/>
      <c r="B31" s="8"/>
      <c r="C31" s="8"/>
    </row>
    <row r="32" spans="1:16" ht="25" customHeight="1">
      <c r="D32" s="8"/>
      <c r="E32" s="8"/>
      <c r="F32" s="8"/>
      <c r="G32" s="8"/>
    </row>
    <row r="33" spans="4:7" ht="25" customHeight="1">
      <c r="D33" s="219"/>
      <c r="E33" s="219"/>
      <c r="F33" s="219"/>
      <c r="G33" s="219"/>
    </row>
    <row r="34" spans="4:7" ht="20.5">
      <c r="D34" s="219"/>
      <c r="E34" s="219"/>
      <c r="F34" s="219"/>
      <c r="G34" s="219"/>
    </row>
  </sheetData>
  <sortState xmlns:xlrd2="http://schemas.microsoft.com/office/spreadsheetml/2017/richdata2" ref="P14:P19">
    <sortCondition ref="P13:P19"/>
  </sortState>
  <mergeCells count="5">
    <mergeCell ref="A1:K1"/>
    <mergeCell ref="A2:K2"/>
    <mergeCell ref="D3:F3"/>
    <mergeCell ref="D33:G33"/>
    <mergeCell ref="D34:G34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19A3-7110-41CC-B1D9-EE2F1DB2DFCB}">
  <dimension ref="A1:K34"/>
  <sheetViews>
    <sheetView zoomScale="80" zoomScaleNormal="80" workbookViewId="0">
      <selection activeCell="C11" sqref="C11"/>
    </sheetView>
  </sheetViews>
  <sheetFormatPr defaultColWidth="8.6328125" defaultRowHeight="14.5"/>
  <cols>
    <col min="1" max="1" width="5.6328125" style="7" customWidth="1"/>
    <col min="2" max="2" width="7.36328125" style="7" customWidth="1"/>
    <col min="3" max="3" width="18.08984375" style="7" customWidth="1"/>
    <col min="4" max="4" width="9.26953125" style="7" customWidth="1"/>
    <col min="5" max="5" width="11.08984375" style="7" customWidth="1"/>
    <col min="6" max="6" width="15.08984375" style="7" customWidth="1"/>
    <col min="7" max="11" width="4.08984375" style="7" customWidth="1"/>
    <col min="12" max="90" width="9.08984375" style="7" customWidth="1"/>
    <col min="91" max="16384" width="8.6328125" style="7"/>
  </cols>
  <sheetData>
    <row r="1" spans="1:11" ht="20.25" customHeight="1">
      <c r="A1" s="216" t="s">
        <v>462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</row>
    <row r="2" spans="1:11" s="8" customFormat="1" ht="21" customHeight="1">
      <c r="A2" s="217" t="s">
        <v>452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11" s="8" customFormat="1" ht="20.5">
      <c r="A3" s="9" t="s">
        <v>159</v>
      </c>
      <c r="B3" s="9" t="s">
        <v>1</v>
      </c>
      <c r="C3" s="9" t="s">
        <v>0</v>
      </c>
      <c r="D3" s="218" t="s">
        <v>160</v>
      </c>
      <c r="E3" s="218"/>
      <c r="F3" s="218"/>
      <c r="G3" s="10"/>
      <c r="H3" s="10"/>
      <c r="I3" s="10"/>
      <c r="J3" s="10"/>
      <c r="K3" s="10"/>
    </row>
    <row r="4" spans="1:11" s="8" customFormat="1" ht="20.5">
      <c r="A4" s="11">
        <v>1</v>
      </c>
      <c r="B4" s="12">
        <v>1838</v>
      </c>
      <c r="C4" s="13">
        <v>1309904842731</v>
      </c>
      <c r="D4" s="14" t="s">
        <v>2</v>
      </c>
      <c r="E4" s="15" t="s">
        <v>345</v>
      </c>
      <c r="F4" s="16" t="s">
        <v>151</v>
      </c>
      <c r="G4" s="17"/>
      <c r="H4" s="17"/>
      <c r="I4" s="17"/>
      <c r="J4" s="17"/>
      <c r="K4" s="17"/>
    </row>
    <row r="5" spans="1:11" s="8" customFormat="1" ht="20.5">
      <c r="A5" s="11">
        <v>2</v>
      </c>
      <c r="B5" s="11">
        <v>1839</v>
      </c>
      <c r="C5" s="13">
        <v>1300101320553</v>
      </c>
      <c r="D5" s="14" t="s">
        <v>2</v>
      </c>
      <c r="E5" s="15" t="s">
        <v>346</v>
      </c>
      <c r="F5" s="16" t="s">
        <v>145</v>
      </c>
      <c r="G5" s="17"/>
      <c r="H5" s="17"/>
      <c r="I5" s="17"/>
      <c r="J5" s="17"/>
      <c r="K5" s="17"/>
    </row>
    <row r="6" spans="1:11" s="8" customFormat="1" ht="20.5">
      <c r="A6" s="11">
        <v>3</v>
      </c>
      <c r="B6" s="11">
        <v>1840</v>
      </c>
      <c r="C6" s="13">
        <v>1309904875711</v>
      </c>
      <c r="D6" s="14" t="s">
        <v>2</v>
      </c>
      <c r="E6" s="15" t="s">
        <v>335</v>
      </c>
      <c r="F6" s="16" t="s">
        <v>336</v>
      </c>
      <c r="G6" s="17"/>
      <c r="H6" s="17"/>
      <c r="I6" s="17"/>
      <c r="J6" s="17"/>
      <c r="K6" s="17"/>
    </row>
    <row r="7" spans="1:11" s="8" customFormat="1" ht="20.5">
      <c r="A7" s="11">
        <v>4</v>
      </c>
      <c r="B7" s="11">
        <v>1842</v>
      </c>
      <c r="C7" s="13">
        <v>1309500119388</v>
      </c>
      <c r="D7" s="18" t="s">
        <v>2</v>
      </c>
      <c r="E7" s="15" t="s">
        <v>357</v>
      </c>
      <c r="F7" s="16" t="s">
        <v>358</v>
      </c>
      <c r="G7" s="17"/>
      <c r="H7" s="17"/>
      <c r="I7" s="17"/>
      <c r="J7" s="17"/>
      <c r="K7" s="17"/>
    </row>
    <row r="8" spans="1:11" s="8" customFormat="1" ht="20.5">
      <c r="A8" s="11">
        <v>5</v>
      </c>
      <c r="B8" s="11">
        <v>1843</v>
      </c>
      <c r="C8" s="13">
        <v>1309500109293</v>
      </c>
      <c r="D8" s="18" t="s">
        <v>2</v>
      </c>
      <c r="E8" s="15" t="s">
        <v>362</v>
      </c>
      <c r="F8" s="16" t="s">
        <v>363</v>
      </c>
      <c r="G8" s="17"/>
      <c r="H8" s="17"/>
      <c r="I8" s="17"/>
      <c r="J8" s="17"/>
      <c r="K8" s="17"/>
    </row>
    <row r="9" spans="1:11" s="8" customFormat="1" ht="20.5">
      <c r="A9" s="11">
        <v>6</v>
      </c>
      <c r="B9" s="19">
        <v>1871</v>
      </c>
      <c r="C9" s="20">
        <v>1309904857101</v>
      </c>
      <c r="D9" s="197" t="s">
        <v>2</v>
      </c>
      <c r="E9" s="8" t="s">
        <v>381</v>
      </c>
      <c r="F9" s="8" t="s">
        <v>251</v>
      </c>
      <c r="G9" s="17"/>
      <c r="H9" s="17"/>
      <c r="I9" s="17"/>
      <c r="J9" s="17"/>
      <c r="K9" s="17"/>
    </row>
    <row r="10" spans="1:11" s="119" customFormat="1" ht="20" customHeight="1">
      <c r="A10" s="11">
        <v>7</v>
      </c>
      <c r="B10" s="243">
        <v>1896</v>
      </c>
      <c r="C10" s="91">
        <v>1102005069695</v>
      </c>
      <c r="D10" s="88" t="s">
        <v>2</v>
      </c>
      <c r="E10" s="108" t="s">
        <v>432</v>
      </c>
      <c r="F10" s="109" t="s">
        <v>433</v>
      </c>
      <c r="G10" s="117"/>
      <c r="H10" s="117"/>
      <c r="I10" s="117"/>
      <c r="J10" s="117"/>
      <c r="K10" s="117"/>
    </row>
    <row r="11" spans="1:11" s="8" customFormat="1" ht="20.5">
      <c r="A11" s="11">
        <v>8</v>
      </c>
      <c r="B11" s="29">
        <v>1904</v>
      </c>
      <c r="C11" s="30">
        <v>1306200190335</v>
      </c>
      <c r="D11" s="31" t="s">
        <v>2</v>
      </c>
      <c r="E11" s="32" t="s">
        <v>455</v>
      </c>
      <c r="F11" s="33" t="s">
        <v>456</v>
      </c>
      <c r="G11" s="17"/>
      <c r="H11" s="17"/>
      <c r="I11" s="17"/>
      <c r="J11" s="17"/>
      <c r="K11" s="17"/>
    </row>
    <row r="12" spans="1:11" s="8" customFormat="1" ht="20.5">
      <c r="A12" s="11">
        <v>9</v>
      </c>
      <c r="B12" s="21">
        <v>1844</v>
      </c>
      <c r="C12" s="13">
        <v>1309904831616</v>
      </c>
      <c r="D12" s="14" t="s">
        <v>34</v>
      </c>
      <c r="E12" s="15" t="s">
        <v>348</v>
      </c>
      <c r="F12" s="16" t="s">
        <v>349</v>
      </c>
      <c r="G12" s="17"/>
      <c r="H12" s="17"/>
      <c r="I12" s="17"/>
      <c r="J12" s="17"/>
      <c r="K12" s="17"/>
    </row>
    <row r="13" spans="1:11" s="8" customFormat="1" ht="20.5">
      <c r="A13" s="11">
        <v>10</v>
      </c>
      <c r="B13" s="11">
        <v>1845</v>
      </c>
      <c r="C13" s="22">
        <v>1309500110445</v>
      </c>
      <c r="D13" s="14" t="s">
        <v>34</v>
      </c>
      <c r="E13" s="23" t="s">
        <v>353</v>
      </c>
      <c r="F13" s="23" t="s">
        <v>373</v>
      </c>
      <c r="G13" s="17"/>
      <c r="H13" s="17"/>
      <c r="I13" s="17"/>
      <c r="J13" s="17"/>
      <c r="K13" s="17"/>
    </row>
    <row r="14" spans="1:11" s="8" customFormat="1" ht="20.5">
      <c r="A14" s="11">
        <v>11</v>
      </c>
      <c r="B14" s="24">
        <v>1846</v>
      </c>
      <c r="C14" s="13">
        <v>1309500114424</v>
      </c>
      <c r="D14" s="14" t="s">
        <v>34</v>
      </c>
      <c r="E14" s="15" t="s">
        <v>352</v>
      </c>
      <c r="F14" s="16" t="s">
        <v>6</v>
      </c>
      <c r="G14" s="17"/>
      <c r="H14" s="17"/>
      <c r="I14" s="17"/>
      <c r="J14" s="17"/>
      <c r="K14" s="17"/>
    </row>
    <row r="15" spans="1:11" s="8" customFormat="1" ht="20.5">
      <c r="A15" s="11">
        <v>12</v>
      </c>
      <c r="B15" s="11">
        <v>1847</v>
      </c>
      <c r="C15" s="13">
        <v>1309500111778</v>
      </c>
      <c r="D15" s="14" t="s">
        <v>34</v>
      </c>
      <c r="E15" s="15" t="s">
        <v>350</v>
      </c>
      <c r="F15" s="16" t="s">
        <v>351</v>
      </c>
      <c r="G15" s="28"/>
      <c r="H15" s="28"/>
      <c r="I15" s="28"/>
      <c r="J15" s="28"/>
      <c r="K15" s="28"/>
    </row>
    <row r="16" spans="1:11" s="8" customFormat="1" ht="20.5">
      <c r="A16" s="11">
        <v>13</v>
      </c>
      <c r="B16" s="11">
        <v>1848</v>
      </c>
      <c r="C16" s="25">
        <v>1309500115641</v>
      </c>
      <c r="D16" s="14" t="s">
        <v>34</v>
      </c>
      <c r="E16" s="26" t="s">
        <v>354</v>
      </c>
      <c r="F16" s="27" t="s">
        <v>355</v>
      </c>
      <c r="G16" s="28"/>
      <c r="H16" s="28"/>
      <c r="I16" s="28"/>
      <c r="J16" s="28"/>
      <c r="K16" s="28"/>
    </row>
    <row r="17" spans="1:11" s="8" customFormat="1" ht="20.5">
      <c r="A17" s="11">
        <v>14</v>
      </c>
      <c r="B17" s="11">
        <v>1849</v>
      </c>
      <c r="C17" s="25">
        <v>1309500112961</v>
      </c>
      <c r="D17" s="14" t="s">
        <v>34</v>
      </c>
      <c r="E17" s="26" t="s">
        <v>368</v>
      </c>
      <c r="F17" s="27" t="s">
        <v>19</v>
      </c>
      <c r="G17" s="34"/>
      <c r="H17" s="34"/>
      <c r="I17" s="34"/>
      <c r="J17" s="34"/>
      <c r="K17" s="34"/>
    </row>
    <row r="18" spans="1:11" s="8" customFormat="1" ht="20.5">
      <c r="A18" s="11">
        <v>15</v>
      </c>
      <c r="B18" s="11">
        <v>1897</v>
      </c>
      <c r="C18" s="25">
        <v>1309500110151</v>
      </c>
      <c r="D18" s="14" t="s">
        <v>34</v>
      </c>
      <c r="E18" s="26" t="s">
        <v>425</v>
      </c>
      <c r="F18" s="27" t="s">
        <v>427</v>
      </c>
      <c r="G18" s="34"/>
      <c r="H18" s="34"/>
      <c r="I18" s="34"/>
      <c r="J18" s="34"/>
      <c r="K18" s="34"/>
    </row>
    <row r="19" spans="1:11" s="36" customFormat="1" ht="20.5">
      <c r="A19" s="29">
        <v>16</v>
      </c>
      <c r="B19" s="29">
        <v>1901</v>
      </c>
      <c r="C19" s="30">
        <v>1309904864379</v>
      </c>
      <c r="D19" s="31" t="s">
        <v>34</v>
      </c>
      <c r="E19" s="32" t="s">
        <v>440</v>
      </c>
      <c r="F19" s="33" t="s">
        <v>441</v>
      </c>
      <c r="G19" s="35"/>
      <c r="H19" s="35"/>
      <c r="I19" s="35"/>
      <c r="J19" s="35"/>
      <c r="K19" s="35"/>
    </row>
    <row r="20" spans="1:11" s="8" customFormat="1" ht="20.5">
      <c r="A20" s="29">
        <v>17</v>
      </c>
      <c r="B20" s="29">
        <v>1905</v>
      </c>
      <c r="C20" s="30">
        <v>1229901779550</v>
      </c>
      <c r="D20" s="31" t="s">
        <v>34</v>
      </c>
      <c r="E20" s="32" t="s">
        <v>457</v>
      </c>
      <c r="F20" s="33" t="s">
        <v>458</v>
      </c>
      <c r="G20" s="34"/>
      <c r="H20" s="34"/>
      <c r="I20" s="34"/>
      <c r="J20" s="34"/>
      <c r="K20" s="34"/>
    </row>
    <row r="21" spans="1:11" s="8" customFormat="1" ht="20.5">
      <c r="A21" s="29"/>
      <c r="B21" s="29"/>
      <c r="C21" s="30"/>
      <c r="D21" s="31"/>
      <c r="E21" s="32"/>
      <c r="F21" s="33"/>
      <c r="G21" s="34"/>
      <c r="H21" s="34"/>
      <c r="I21" s="34"/>
      <c r="J21" s="34"/>
      <c r="K21" s="34"/>
    </row>
    <row r="22" spans="1:11" s="36" customFormat="1" ht="21" customHeight="1">
      <c r="A22" s="29"/>
      <c r="B22" s="29"/>
      <c r="C22" s="30"/>
      <c r="D22" s="31"/>
      <c r="E22" s="32"/>
      <c r="F22" s="33"/>
      <c r="G22" s="35"/>
      <c r="H22" s="35"/>
      <c r="I22" s="35"/>
      <c r="J22" s="35"/>
      <c r="K22" s="35"/>
    </row>
    <row r="23" spans="1:11" s="8" customFormat="1" ht="20.5">
      <c r="A23" s="29"/>
      <c r="B23" s="29"/>
      <c r="C23" s="30"/>
      <c r="D23" s="31"/>
      <c r="E23" s="32"/>
      <c r="F23" s="33"/>
      <c r="G23" s="34"/>
      <c r="H23" s="34"/>
      <c r="I23" s="34"/>
      <c r="J23" s="34"/>
      <c r="K23" s="34"/>
    </row>
    <row r="24" spans="1:11" s="8" customFormat="1" ht="20.5">
      <c r="A24" s="29"/>
      <c r="B24" s="29"/>
      <c r="C24" s="30"/>
      <c r="D24" s="31"/>
      <c r="E24" s="32"/>
      <c r="F24" s="33"/>
      <c r="G24" s="34"/>
      <c r="H24" s="34"/>
      <c r="I24" s="34"/>
      <c r="J24" s="34"/>
      <c r="K24" s="34"/>
    </row>
    <row r="25" spans="1:11" s="8" customFormat="1" ht="20.5">
      <c r="A25" s="29"/>
      <c r="B25" s="29"/>
      <c r="C25" s="30"/>
      <c r="D25" s="31"/>
      <c r="E25" s="32"/>
      <c r="F25" s="33"/>
      <c r="G25" s="34"/>
      <c r="H25" s="34"/>
      <c r="I25" s="34"/>
      <c r="J25" s="34"/>
      <c r="K25" s="34"/>
    </row>
    <row r="26" spans="1:11" s="8" customFormat="1" ht="20.5">
      <c r="A26" s="29"/>
      <c r="B26" s="37"/>
      <c r="C26" s="38"/>
      <c r="D26" s="39"/>
      <c r="E26" s="40"/>
      <c r="F26" s="41"/>
      <c r="G26" s="34"/>
      <c r="H26" s="34"/>
      <c r="I26" s="34"/>
      <c r="J26" s="34"/>
      <c r="K26" s="34"/>
    </row>
    <row r="27" spans="1:11" s="8" customFormat="1" ht="20.5">
      <c r="A27" s="29"/>
      <c r="B27" s="37"/>
      <c r="C27" s="38"/>
      <c r="D27" s="39"/>
      <c r="E27" s="40"/>
      <c r="F27" s="41"/>
      <c r="G27" s="34"/>
      <c r="H27" s="34"/>
      <c r="I27" s="34"/>
      <c r="J27" s="34"/>
      <c r="K27" s="34"/>
    </row>
    <row r="28" spans="1:11" ht="20.5">
      <c r="A28" s="29"/>
      <c r="B28" s="37"/>
      <c r="C28" s="38"/>
      <c r="D28" s="39"/>
      <c r="E28" s="40"/>
      <c r="F28" s="41"/>
      <c r="G28" s="34"/>
      <c r="H28" s="34"/>
      <c r="I28" s="34"/>
      <c r="J28" s="34"/>
      <c r="K28" s="34"/>
    </row>
    <row r="30" spans="1:11" ht="25" customHeight="1">
      <c r="A30" s="8"/>
      <c r="B30" s="8"/>
      <c r="C30" s="8"/>
    </row>
    <row r="31" spans="1:11" ht="25" customHeight="1">
      <c r="A31" s="8"/>
      <c r="B31" s="8"/>
      <c r="C31" s="8"/>
    </row>
    <row r="32" spans="1:11" ht="25" customHeight="1">
      <c r="D32" s="8"/>
      <c r="E32" s="8"/>
      <c r="F32" s="8"/>
      <c r="G32" s="8"/>
    </row>
    <row r="33" spans="4:7" ht="25" customHeight="1">
      <c r="D33" s="219"/>
      <c r="E33" s="219"/>
      <c r="F33" s="219"/>
      <c r="G33" s="219"/>
    </row>
    <row r="34" spans="4:7" ht="20.5">
      <c r="D34" s="219"/>
      <c r="E34" s="219"/>
      <c r="F34" s="219"/>
      <c r="G34" s="219"/>
    </row>
  </sheetData>
  <mergeCells count="5">
    <mergeCell ref="A1:K1"/>
    <mergeCell ref="A2:K2"/>
    <mergeCell ref="D3:F3"/>
    <mergeCell ref="D33:G33"/>
    <mergeCell ref="D34:G34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5D0F-AD5F-4ACC-8D83-710805AE4B3F}">
  <dimension ref="A1:K33"/>
  <sheetViews>
    <sheetView zoomScale="74" zoomScaleNormal="74" workbookViewId="0">
      <selection activeCell="A2" sqref="A2:K2"/>
    </sheetView>
  </sheetViews>
  <sheetFormatPr defaultColWidth="8.6328125" defaultRowHeight="14.5"/>
  <cols>
    <col min="1" max="1" width="5.6328125" style="42" customWidth="1"/>
    <col min="2" max="2" width="7.36328125" style="42" customWidth="1"/>
    <col min="3" max="3" width="18.08984375" style="42" customWidth="1"/>
    <col min="4" max="4" width="6.6328125" style="42" customWidth="1"/>
    <col min="5" max="5" width="11.08984375" style="42" customWidth="1"/>
    <col min="6" max="6" width="12.90625" style="42" customWidth="1"/>
    <col min="7" max="11" width="4.08984375" style="42" customWidth="1"/>
    <col min="12" max="90" width="9.08984375" style="42" customWidth="1"/>
    <col min="91" max="16384" width="8.6328125" style="42"/>
  </cols>
  <sheetData>
    <row r="1" spans="1:11" ht="20.25" customHeight="1">
      <c r="A1" s="220" t="s">
        <v>463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</row>
    <row r="2" spans="1:11" s="43" customFormat="1" ht="21" customHeight="1">
      <c r="A2" s="221" t="s">
        <v>450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s="43" customFormat="1" ht="20.5">
      <c r="A3" s="9" t="s">
        <v>159</v>
      </c>
      <c r="B3" s="9" t="s">
        <v>1</v>
      </c>
      <c r="C3" s="9" t="s">
        <v>0</v>
      </c>
      <c r="D3" s="218" t="s">
        <v>160</v>
      </c>
      <c r="E3" s="218"/>
      <c r="F3" s="218"/>
      <c r="G3" s="10"/>
      <c r="H3" s="10"/>
      <c r="I3" s="10"/>
      <c r="J3" s="10"/>
      <c r="K3" s="10"/>
    </row>
    <row r="4" spans="1:11" s="43" customFormat="1" ht="20.5">
      <c r="A4" s="44">
        <v>1</v>
      </c>
      <c r="B4" s="44">
        <v>1783</v>
      </c>
      <c r="C4" s="45">
        <v>1309500098429</v>
      </c>
      <c r="D4" s="46" t="s">
        <v>2</v>
      </c>
      <c r="E4" s="47" t="s">
        <v>307</v>
      </c>
      <c r="F4" s="48" t="s">
        <v>308</v>
      </c>
      <c r="G4" s="34"/>
      <c r="H4" s="34"/>
      <c r="I4" s="34"/>
      <c r="J4" s="34"/>
      <c r="K4" s="34"/>
    </row>
    <row r="5" spans="1:11" s="43" customFormat="1" ht="20.5">
      <c r="A5" s="44">
        <v>2</v>
      </c>
      <c r="B5" s="44">
        <v>1785</v>
      </c>
      <c r="C5" s="45">
        <v>1309904794257</v>
      </c>
      <c r="D5" s="46" t="s">
        <v>2</v>
      </c>
      <c r="E5" s="47" t="s">
        <v>86</v>
      </c>
      <c r="F5" s="48" t="s">
        <v>303</v>
      </c>
      <c r="G5" s="34"/>
      <c r="H5" s="34"/>
      <c r="I5" s="34"/>
      <c r="J5" s="34"/>
      <c r="K5" s="34"/>
    </row>
    <row r="6" spans="1:11" s="43" customFormat="1" ht="20.5">
      <c r="A6" s="44">
        <v>3</v>
      </c>
      <c r="B6" s="44">
        <v>1786</v>
      </c>
      <c r="C6" s="45">
        <v>1309904771222</v>
      </c>
      <c r="D6" s="46" t="s">
        <v>2</v>
      </c>
      <c r="E6" s="47" t="s">
        <v>314</v>
      </c>
      <c r="F6" s="48" t="s">
        <v>315</v>
      </c>
      <c r="G6" s="34"/>
      <c r="H6" s="34"/>
      <c r="I6" s="34"/>
      <c r="J6" s="34"/>
      <c r="K6" s="34"/>
    </row>
    <row r="7" spans="1:11" s="43" customFormat="1" ht="20.5">
      <c r="A7" s="44">
        <v>4</v>
      </c>
      <c r="B7" s="44">
        <v>1787</v>
      </c>
      <c r="C7" s="45">
        <v>1309904777204</v>
      </c>
      <c r="D7" s="46" t="s">
        <v>2</v>
      </c>
      <c r="E7" s="47" t="s">
        <v>304</v>
      </c>
      <c r="F7" s="48" t="s">
        <v>305</v>
      </c>
      <c r="G7" s="34"/>
      <c r="H7" s="34"/>
      <c r="I7" s="34"/>
      <c r="J7" s="34"/>
      <c r="K7" s="34"/>
    </row>
    <row r="8" spans="1:11" s="43" customFormat="1" ht="20.5">
      <c r="A8" s="44">
        <v>5</v>
      </c>
      <c r="B8" s="44">
        <v>1788</v>
      </c>
      <c r="C8" s="45">
        <v>1309904755367</v>
      </c>
      <c r="D8" s="46" t="s">
        <v>2</v>
      </c>
      <c r="E8" s="47" t="s">
        <v>60</v>
      </c>
      <c r="F8" s="48" t="s">
        <v>306</v>
      </c>
      <c r="G8" s="34"/>
      <c r="H8" s="34"/>
      <c r="I8" s="34"/>
      <c r="J8" s="34"/>
      <c r="K8" s="34"/>
    </row>
    <row r="9" spans="1:11" s="43" customFormat="1" ht="20.5">
      <c r="A9" s="44">
        <v>6</v>
      </c>
      <c r="B9" s="44">
        <v>1789</v>
      </c>
      <c r="C9" s="45">
        <v>1309500097104</v>
      </c>
      <c r="D9" s="46" t="s">
        <v>2</v>
      </c>
      <c r="E9" s="47" t="s">
        <v>309</v>
      </c>
      <c r="F9" s="48" t="s">
        <v>310</v>
      </c>
      <c r="G9" s="34"/>
      <c r="H9" s="34"/>
      <c r="I9" s="34"/>
      <c r="J9" s="34"/>
      <c r="K9" s="34"/>
    </row>
    <row r="10" spans="1:11" s="43" customFormat="1" ht="20.5">
      <c r="A10" s="44">
        <v>7</v>
      </c>
      <c r="B10" s="44">
        <v>1790</v>
      </c>
      <c r="C10" s="45">
        <v>1309500094474</v>
      </c>
      <c r="D10" s="46" t="s">
        <v>2</v>
      </c>
      <c r="E10" s="47" t="s">
        <v>149</v>
      </c>
      <c r="F10" s="48" t="s">
        <v>302</v>
      </c>
      <c r="G10" s="34"/>
      <c r="H10" s="34"/>
      <c r="I10" s="34"/>
      <c r="J10" s="34"/>
      <c r="K10" s="34"/>
    </row>
    <row r="11" spans="1:11" s="43" customFormat="1" ht="20.5">
      <c r="A11" s="44">
        <v>8</v>
      </c>
      <c r="B11" s="44">
        <v>1791</v>
      </c>
      <c r="C11" s="45">
        <v>1309904763831</v>
      </c>
      <c r="D11" s="46" t="s">
        <v>2</v>
      </c>
      <c r="E11" s="47" t="s">
        <v>313</v>
      </c>
      <c r="F11" s="48" t="s">
        <v>148</v>
      </c>
      <c r="G11" s="34"/>
      <c r="H11" s="34"/>
      <c r="I11" s="34"/>
      <c r="J11" s="34"/>
      <c r="K11" s="34"/>
    </row>
    <row r="12" spans="1:11" s="43" customFormat="1" ht="20.5">
      <c r="A12" s="44">
        <v>9</v>
      </c>
      <c r="B12" s="49">
        <v>1831</v>
      </c>
      <c r="C12" s="50">
        <v>1309500096108</v>
      </c>
      <c r="D12" s="51" t="s">
        <v>2</v>
      </c>
      <c r="E12" s="52" t="s">
        <v>325</v>
      </c>
      <c r="F12" s="53" t="s">
        <v>62</v>
      </c>
      <c r="G12" s="34"/>
      <c r="H12" s="34"/>
      <c r="I12" s="34"/>
      <c r="J12" s="34"/>
      <c r="K12" s="34"/>
    </row>
    <row r="13" spans="1:11" s="43" customFormat="1" ht="20.5">
      <c r="A13" s="54">
        <v>10</v>
      </c>
      <c r="B13" s="55">
        <v>1850</v>
      </c>
      <c r="C13" s="56">
        <v>1309904728491</v>
      </c>
      <c r="D13" s="57" t="s">
        <v>2</v>
      </c>
      <c r="E13" s="58" t="s">
        <v>337</v>
      </c>
      <c r="F13" s="59" t="s">
        <v>338</v>
      </c>
      <c r="G13" s="35"/>
      <c r="H13" s="35"/>
      <c r="I13" s="34"/>
      <c r="J13" s="34"/>
      <c r="K13" s="34"/>
    </row>
    <row r="14" spans="1:11" s="43" customFormat="1" ht="20.5">
      <c r="A14" s="44">
        <v>11</v>
      </c>
      <c r="B14" s="55">
        <v>1851</v>
      </c>
      <c r="C14" s="60">
        <v>1309500105263</v>
      </c>
      <c r="D14" s="61" t="s">
        <v>2</v>
      </c>
      <c r="E14" s="58" t="s">
        <v>347</v>
      </c>
      <c r="F14" s="59" t="s">
        <v>64</v>
      </c>
      <c r="G14" s="35"/>
      <c r="H14" s="35"/>
      <c r="I14" s="34"/>
      <c r="J14" s="34"/>
      <c r="K14" s="34"/>
    </row>
    <row r="15" spans="1:11" s="43" customFormat="1" ht="20.5">
      <c r="A15" s="54">
        <v>12</v>
      </c>
      <c r="B15" s="24">
        <v>1898</v>
      </c>
      <c r="C15" s="62">
        <v>1309500103244</v>
      </c>
      <c r="D15" s="83" t="s">
        <v>2</v>
      </c>
      <c r="E15" s="15" t="s">
        <v>423</v>
      </c>
      <c r="F15" s="16" t="s">
        <v>424</v>
      </c>
      <c r="G15" s="35"/>
      <c r="H15" s="35"/>
      <c r="I15" s="34"/>
      <c r="J15" s="34"/>
      <c r="K15" s="34"/>
    </row>
    <row r="16" spans="1:11" s="43" customFormat="1" ht="20.5">
      <c r="A16" s="44">
        <v>13</v>
      </c>
      <c r="B16" s="44">
        <v>1792</v>
      </c>
      <c r="C16" s="45">
        <v>1309500106227</v>
      </c>
      <c r="D16" s="46" t="s">
        <v>34</v>
      </c>
      <c r="E16" s="47" t="s">
        <v>316</v>
      </c>
      <c r="F16" s="48" t="s">
        <v>271</v>
      </c>
      <c r="G16" s="35"/>
      <c r="H16" s="35"/>
      <c r="I16" s="34"/>
      <c r="J16" s="34"/>
      <c r="K16" s="34"/>
    </row>
    <row r="17" spans="1:11" s="43" customFormat="1" ht="20.5">
      <c r="A17" s="54">
        <v>14</v>
      </c>
      <c r="B17" s="44">
        <v>1793</v>
      </c>
      <c r="C17" s="45">
        <v>1309500095888</v>
      </c>
      <c r="D17" s="46" t="s">
        <v>34</v>
      </c>
      <c r="E17" s="47" t="s">
        <v>312</v>
      </c>
      <c r="F17" s="48" t="s">
        <v>90</v>
      </c>
      <c r="G17" s="35"/>
      <c r="H17" s="35"/>
      <c r="I17" s="34"/>
      <c r="J17" s="34"/>
      <c r="K17" s="34"/>
    </row>
    <row r="18" spans="1:11" s="23" customFormat="1" ht="20.5">
      <c r="A18" s="44">
        <v>15</v>
      </c>
      <c r="B18" s="44">
        <v>1794</v>
      </c>
      <c r="C18" s="45">
        <v>1309500095021</v>
      </c>
      <c r="D18" s="46" t="s">
        <v>34</v>
      </c>
      <c r="E18" s="47" t="s">
        <v>311</v>
      </c>
      <c r="F18" s="48" t="s">
        <v>163</v>
      </c>
      <c r="G18" s="35"/>
      <c r="H18" s="35"/>
      <c r="I18" s="35"/>
      <c r="J18" s="35"/>
      <c r="K18" s="35"/>
    </row>
    <row r="19" spans="1:11" s="43" customFormat="1" ht="20.5">
      <c r="A19" s="54">
        <v>16</v>
      </c>
      <c r="B19" s="44">
        <v>1833</v>
      </c>
      <c r="C19" s="45">
        <v>1329200153301</v>
      </c>
      <c r="D19" s="46" t="s">
        <v>34</v>
      </c>
      <c r="E19" s="47" t="s">
        <v>331</v>
      </c>
      <c r="F19" s="48" t="s">
        <v>332</v>
      </c>
      <c r="G19" s="28"/>
      <c r="H19" s="28"/>
      <c r="I19" s="28"/>
      <c r="J19" s="28"/>
      <c r="K19" s="28"/>
    </row>
    <row r="20" spans="1:11" s="43" customFormat="1" ht="20.5">
      <c r="A20" s="44">
        <v>17</v>
      </c>
      <c r="B20" s="11">
        <v>1877</v>
      </c>
      <c r="C20" s="25">
        <v>1309904745892</v>
      </c>
      <c r="D20" s="46" t="s">
        <v>34</v>
      </c>
      <c r="E20" s="26" t="s">
        <v>384</v>
      </c>
      <c r="F20" s="27" t="s">
        <v>385</v>
      </c>
      <c r="G20" s="28"/>
      <c r="H20" s="28"/>
      <c r="I20" s="28"/>
      <c r="J20" s="28"/>
      <c r="K20" s="28"/>
    </row>
    <row r="21" spans="1:11" s="23" customFormat="1" ht="21" customHeight="1">
      <c r="A21" s="11"/>
      <c r="B21" s="11"/>
      <c r="C21" s="25"/>
      <c r="D21" s="14"/>
      <c r="E21" s="26"/>
      <c r="F21" s="27"/>
      <c r="G21" s="17"/>
      <c r="H21" s="17"/>
      <c r="I21" s="17"/>
      <c r="J21" s="17"/>
      <c r="K21" s="17"/>
    </row>
    <row r="22" spans="1:11" s="43" customFormat="1" ht="20.5">
      <c r="A22" s="11"/>
      <c r="B22" s="11"/>
      <c r="C22" s="25"/>
      <c r="D22" s="14"/>
      <c r="E22" s="26"/>
      <c r="F22" s="27"/>
      <c r="G22" s="28"/>
      <c r="H22" s="28"/>
      <c r="I22" s="28"/>
      <c r="J22" s="28"/>
      <c r="K22" s="28"/>
    </row>
    <row r="23" spans="1:11" s="43" customFormat="1" ht="20.5">
      <c r="A23" s="11"/>
      <c r="B23" s="11"/>
      <c r="C23" s="25"/>
      <c r="D23" s="14"/>
      <c r="E23" s="26"/>
      <c r="F23" s="27"/>
      <c r="G23" s="28"/>
      <c r="H23" s="28"/>
      <c r="I23" s="28"/>
      <c r="J23" s="28"/>
      <c r="K23" s="28"/>
    </row>
    <row r="24" spans="1:11" s="43" customFormat="1" ht="20.5">
      <c r="A24" s="11"/>
      <c r="B24" s="11"/>
      <c r="C24" s="25"/>
      <c r="D24" s="14"/>
      <c r="E24" s="26"/>
      <c r="F24" s="27"/>
      <c r="G24" s="28"/>
      <c r="H24" s="28"/>
      <c r="I24" s="28"/>
      <c r="J24" s="28"/>
      <c r="K24" s="28"/>
    </row>
    <row r="25" spans="1:11" s="43" customFormat="1" ht="20.5">
      <c r="A25" s="11"/>
      <c r="B25" s="63"/>
      <c r="C25" s="64"/>
      <c r="D25" s="65"/>
      <c r="E25" s="66"/>
      <c r="F25" s="67"/>
      <c r="G25" s="28"/>
      <c r="H25" s="28"/>
      <c r="I25" s="28"/>
      <c r="J25" s="28"/>
      <c r="K25" s="28"/>
    </row>
    <row r="26" spans="1:11" s="43" customFormat="1" ht="20.5">
      <c r="A26" s="11"/>
      <c r="B26" s="63"/>
      <c r="C26" s="64"/>
      <c r="D26" s="65"/>
      <c r="E26" s="66"/>
      <c r="F26" s="67"/>
      <c r="G26" s="28"/>
      <c r="H26" s="28"/>
      <c r="I26" s="28"/>
      <c r="J26" s="28"/>
      <c r="K26" s="28"/>
    </row>
    <row r="27" spans="1:11" ht="20.5">
      <c r="A27" s="11"/>
      <c r="B27" s="63"/>
      <c r="C27" s="64"/>
      <c r="D27" s="65"/>
      <c r="E27" s="66"/>
      <c r="F27" s="67"/>
      <c r="G27" s="28"/>
      <c r="H27" s="28"/>
      <c r="I27" s="28"/>
      <c r="J27" s="28"/>
      <c r="K27" s="28"/>
    </row>
    <row r="29" spans="1:11" ht="25" customHeight="1">
      <c r="A29" s="43"/>
      <c r="B29" s="43"/>
      <c r="C29" s="43"/>
    </row>
    <row r="30" spans="1:11" ht="25" customHeight="1">
      <c r="A30" s="43"/>
      <c r="B30" s="43"/>
      <c r="C30" s="43"/>
    </row>
    <row r="31" spans="1:11" ht="25" customHeight="1">
      <c r="D31" s="43"/>
      <c r="E31" s="43"/>
      <c r="F31" s="43"/>
      <c r="G31" s="43"/>
    </row>
    <row r="32" spans="1:11" ht="25" customHeight="1">
      <c r="D32" s="222"/>
      <c r="E32" s="222"/>
      <c r="F32" s="222"/>
      <c r="G32" s="222"/>
    </row>
    <row r="33" spans="4:7" ht="20.5">
      <c r="D33" s="222"/>
      <c r="E33" s="222"/>
      <c r="F33" s="222"/>
      <c r="G33" s="222"/>
    </row>
  </sheetData>
  <mergeCells count="5">
    <mergeCell ref="A1:K1"/>
    <mergeCell ref="A2:K2"/>
    <mergeCell ref="D3:F3"/>
    <mergeCell ref="D32:G32"/>
    <mergeCell ref="D33:G33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3C52-2424-4226-B7F4-9C6BCA89F877}">
  <dimension ref="A1:K46"/>
  <sheetViews>
    <sheetView view="pageBreakPreview" zoomScale="58" zoomScaleNormal="60" zoomScaleSheetLayoutView="58" workbookViewId="0">
      <selection activeCell="A2" sqref="A2:K2"/>
    </sheetView>
  </sheetViews>
  <sheetFormatPr defaultColWidth="8.6328125" defaultRowHeight="14.5"/>
  <cols>
    <col min="1" max="1" width="5.6328125" style="68" customWidth="1"/>
    <col min="2" max="2" width="7.36328125" style="68" customWidth="1"/>
    <col min="3" max="3" width="18.08984375" style="68" customWidth="1"/>
    <col min="4" max="4" width="8.36328125" style="68" customWidth="1"/>
    <col min="5" max="5" width="11.08984375" style="68" customWidth="1"/>
    <col min="6" max="6" width="12.90625" style="68" customWidth="1"/>
    <col min="7" max="11" width="4.08984375" style="68" customWidth="1"/>
    <col min="12" max="90" width="9.08984375" style="68" customWidth="1"/>
    <col min="91" max="16384" width="8.6328125" style="68"/>
  </cols>
  <sheetData>
    <row r="1" spans="1:11" ht="20.25" customHeight="1">
      <c r="A1" s="223" t="s">
        <v>464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1" s="23" customFormat="1" ht="21" customHeight="1">
      <c r="A2" s="224" t="s">
        <v>439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</row>
    <row r="3" spans="1:11" s="23" customFormat="1" ht="20.5">
      <c r="A3" s="69" t="s">
        <v>159</v>
      </c>
      <c r="B3" s="69" t="s">
        <v>1</v>
      </c>
      <c r="C3" s="69" t="s">
        <v>0</v>
      </c>
      <c r="D3" s="225" t="s">
        <v>160</v>
      </c>
      <c r="E3" s="225"/>
      <c r="F3" s="225"/>
      <c r="G3" s="70"/>
      <c r="H3" s="70"/>
      <c r="I3" s="70"/>
      <c r="J3" s="70"/>
      <c r="K3" s="70"/>
    </row>
    <row r="4" spans="1:11" s="23" customFormat="1" ht="20.149999999999999" customHeight="1">
      <c r="A4" s="11">
        <v>1</v>
      </c>
      <c r="B4" s="124">
        <v>1724</v>
      </c>
      <c r="C4" s="125">
        <v>1309500078576</v>
      </c>
      <c r="D4" s="126" t="s">
        <v>2</v>
      </c>
      <c r="E4" s="127" t="s">
        <v>233</v>
      </c>
      <c r="F4" s="128" t="s">
        <v>182</v>
      </c>
      <c r="G4" s="17"/>
      <c r="H4" s="17"/>
      <c r="I4" s="17"/>
      <c r="J4" s="17"/>
      <c r="K4" s="17"/>
    </row>
    <row r="5" spans="1:11" s="23" customFormat="1" ht="20.149999999999999" customHeight="1">
      <c r="A5" s="11">
        <v>2</v>
      </c>
      <c r="B5" s="124">
        <v>1736</v>
      </c>
      <c r="C5" s="125">
        <v>1309500090720</v>
      </c>
      <c r="D5" s="126" t="s">
        <v>2</v>
      </c>
      <c r="E5" s="127" t="s">
        <v>245</v>
      </c>
      <c r="F5" s="128" t="s">
        <v>246</v>
      </c>
      <c r="G5" s="17"/>
      <c r="H5" s="17"/>
      <c r="I5" s="17"/>
      <c r="J5" s="17"/>
      <c r="K5" s="17"/>
    </row>
    <row r="6" spans="1:11" s="23" customFormat="1" ht="20.149999999999999" customHeight="1">
      <c r="A6" s="11">
        <v>3</v>
      </c>
      <c r="B6" s="124">
        <v>1737</v>
      </c>
      <c r="C6" s="125">
        <v>1249901239342</v>
      </c>
      <c r="D6" s="126" t="s">
        <v>2</v>
      </c>
      <c r="E6" s="127" t="s">
        <v>224</v>
      </c>
      <c r="F6" s="128" t="s">
        <v>247</v>
      </c>
      <c r="G6" s="17"/>
      <c r="H6" s="17"/>
      <c r="I6" s="17"/>
      <c r="J6" s="17"/>
      <c r="K6" s="17"/>
    </row>
    <row r="7" spans="1:11" s="23" customFormat="1" ht="20.149999999999999" customHeight="1">
      <c r="A7" s="11">
        <v>4</v>
      </c>
      <c r="B7" s="124">
        <v>1740</v>
      </c>
      <c r="C7" s="125">
        <v>1419903314862</v>
      </c>
      <c r="D7" s="126" t="s">
        <v>2</v>
      </c>
      <c r="E7" s="127" t="s">
        <v>248</v>
      </c>
      <c r="F7" s="128" t="s">
        <v>157</v>
      </c>
      <c r="G7" s="17"/>
      <c r="H7" s="17"/>
      <c r="I7" s="17"/>
      <c r="J7" s="17"/>
      <c r="K7" s="17"/>
    </row>
    <row r="8" spans="1:11" s="23" customFormat="1" ht="20.149999999999999" customHeight="1">
      <c r="A8" s="11">
        <v>5</v>
      </c>
      <c r="B8" s="124">
        <v>1741</v>
      </c>
      <c r="C8" s="125">
        <v>1309500093966</v>
      </c>
      <c r="D8" s="126" t="s">
        <v>2</v>
      </c>
      <c r="E8" s="127" t="s">
        <v>3</v>
      </c>
      <c r="F8" s="128" t="s">
        <v>249</v>
      </c>
      <c r="G8" s="17"/>
      <c r="H8" s="17"/>
      <c r="I8" s="17"/>
      <c r="J8" s="17"/>
      <c r="K8" s="17"/>
    </row>
    <row r="9" spans="1:11" s="23" customFormat="1" ht="20.149999999999999" customHeight="1">
      <c r="A9" s="11">
        <v>6</v>
      </c>
      <c r="B9" s="124">
        <v>1742</v>
      </c>
      <c r="C9" s="125">
        <v>1309904667069</v>
      </c>
      <c r="D9" s="126" t="s">
        <v>2</v>
      </c>
      <c r="E9" s="127" t="s">
        <v>250</v>
      </c>
      <c r="F9" s="128" t="s">
        <v>251</v>
      </c>
      <c r="G9" s="17"/>
      <c r="H9" s="17"/>
      <c r="I9" s="17"/>
      <c r="J9" s="17"/>
      <c r="K9" s="17"/>
    </row>
    <row r="10" spans="1:11" s="23" customFormat="1" ht="20.149999999999999" customHeight="1">
      <c r="A10" s="11">
        <v>7</v>
      </c>
      <c r="B10" s="124">
        <v>1743</v>
      </c>
      <c r="C10" s="125">
        <v>1309500082905</v>
      </c>
      <c r="D10" s="126" t="s">
        <v>2</v>
      </c>
      <c r="E10" s="127" t="s">
        <v>273</v>
      </c>
      <c r="F10" s="128" t="s">
        <v>62</v>
      </c>
      <c r="G10" s="17"/>
      <c r="H10" s="17"/>
      <c r="I10" s="17"/>
      <c r="J10" s="17"/>
      <c r="K10" s="17"/>
    </row>
    <row r="11" spans="1:11" s="23" customFormat="1" ht="20.149999999999999" customHeight="1">
      <c r="A11" s="11">
        <v>8</v>
      </c>
      <c r="B11" s="124">
        <v>1795</v>
      </c>
      <c r="C11" s="129">
        <v>1309500088890</v>
      </c>
      <c r="D11" s="126" t="s">
        <v>2</v>
      </c>
      <c r="E11" s="130" t="s">
        <v>86</v>
      </c>
      <c r="F11" s="131" t="s">
        <v>111</v>
      </c>
      <c r="G11" s="17"/>
      <c r="H11" s="17"/>
      <c r="I11" s="17"/>
      <c r="J11" s="17"/>
      <c r="K11" s="17"/>
    </row>
    <row r="12" spans="1:11" s="23" customFormat="1" ht="20.149999999999999" customHeight="1">
      <c r="A12" s="11">
        <v>9</v>
      </c>
      <c r="B12" s="124">
        <v>1796</v>
      </c>
      <c r="C12" s="125">
        <v>1309500086935</v>
      </c>
      <c r="D12" s="126" t="s">
        <v>2</v>
      </c>
      <c r="E12" s="127" t="s">
        <v>290</v>
      </c>
      <c r="F12" s="128" t="s">
        <v>19</v>
      </c>
      <c r="G12" s="17"/>
      <c r="H12" s="17"/>
      <c r="I12" s="17"/>
      <c r="J12" s="17"/>
      <c r="K12" s="17"/>
    </row>
    <row r="13" spans="1:11" s="23" customFormat="1" ht="20.149999999999999" customHeight="1">
      <c r="A13" s="11">
        <v>10</v>
      </c>
      <c r="B13" s="124">
        <v>1797</v>
      </c>
      <c r="C13" s="125">
        <v>1309500090932</v>
      </c>
      <c r="D13" s="126" t="s">
        <v>2</v>
      </c>
      <c r="E13" s="130" t="s">
        <v>99</v>
      </c>
      <c r="F13" s="131" t="s">
        <v>119</v>
      </c>
      <c r="G13" s="17"/>
      <c r="H13" s="17"/>
      <c r="I13" s="17"/>
      <c r="J13" s="17"/>
      <c r="K13" s="17"/>
    </row>
    <row r="14" spans="1:11" s="23" customFormat="1" ht="20.149999999999999" customHeight="1">
      <c r="A14" s="11">
        <v>11</v>
      </c>
      <c r="B14" s="132">
        <v>1798</v>
      </c>
      <c r="C14" s="133">
        <v>1309500085815</v>
      </c>
      <c r="D14" s="126" t="s">
        <v>2</v>
      </c>
      <c r="E14" s="127" t="s">
        <v>291</v>
      </c>
      <c r="F14" s="128" t="s">
        <v>292</v>
      </c>
      <c r="G14" s="17"/>
      <c r="H14" s="17"/>
      <c r="I14" s="17"/>
      <c r="J14" s="17"/>
      <c r="K14" s="17"/>
    </row>
    <row r="15" spans="1:11" s="23" customFormat="1" ht="20.149999999999999" customHeight="1">
      <c r="A15" s="11">
        <v>12</v>
      </c>
      <c r="B15" s="132">
        <v>1799</v>
      </c>
      <c r="C15" s="133">
        <v>1309500083243</v>
      </c>
      <c r="D15" s="126" t="s">
        <v>2</v>
      </c>
      <c r="E15" s="127" t="s">
        <v>288</v>
      </c>
      <c r="F15" s="128" t="s">
        <v>289</v>
      </c>
      <c r="G15" s="72"/>
      <c r="H15" s="17"/>
      <c r="I15" s="17"/>
      <c r="J15" s="17"/>
      <c r="K15" s="17"/>
    </row>
    <row r="16" spans="1:11" s="23" customFormat="1" ht="20.149999999999999" customHeight="1">
      <c r="A16" s="11">
        <v>13</v>
      </c>
      <c r="B16" s="132">
        <v>1800</v>
      </c>
      <c r="C16" s="133">
        <v>1309904688465</v>
      </c>
      <c r="D16" s="126" t="s">
        <v>2</v>
      </c>
      <c r="E16" s="130" t="s">
        <v>293</v>
      </c>
      <c r="F16" s="131" t="s">
        <v>170</v>
      </c>
      <c r="G16" s="17"/>
      <c r="H16" s="17"/>
      <c r="I16" s="17"/>
      <c r="J16" s="17"/>
      <c r="K16" s="17"/>
    </row>
    <row r="17" spans="1:11" s="23" customFormat="1" ht="20.149999999999999" customHeight="1">
      <c r="A17" s="11">
        <v>14</v>
      </c>
      <c r="B17" s="150">
        <v>1801</v>
      </c>
      <c r="C17" s="151">
        <v>1309500089578</v>
      </c>
      <c r="D17" s="126" t="s">
        <v>2</v>
      </c>
      <c r="E17" s="130" t="s">
        <v>294</v>
      </c>
      <c r="F17" s="131" t="s">
        <v>329</v>
      </c>
      <c r="G17" s="17"/>
      <c r="H17" s="17"/>
      <c r="I17" s="17"/>
      <c r="J17" s="17"/>
      <c r="K17" s="17"/>
    </row>
    <row r="18" spans="1:11" s="23" customFormat="1" ht="20.149999999999999" customHeight="1">
      <c r="A18" s="11">
        <v>15</v>
      </c>
      <c r="B18" s="134">
        <v>1853</v>
      </c>
      <c r="C18" s="135">
        <v>1219700136830</v>
      </c>
      <c r="D18" s="126" t="s">
        <v>2</v>
      </c>
      <c r="E18" s="136" t="s">
        <v>369</v>
      </c>
      <c r="F18" s="137" t="s">
        <v>370</v>
      </c>
      <c r="G18" s="17"/>
      <c r="H18" s="17"/>
      <c r="I18" s="17"/>
      <c r="J18" s="17"/>
      <c r="K18" s="17"/>
    </row>
    <row r="19" spans="1:11" s="23" customFormat="1" ht="20.149999999999999" customHeight="1">
      <c r="A19" s="11">
        <v>16</v>
      </c>
      <c r="B19" s="124">
        <v>1745</v>
      </c>
      <c r="C19" s="125">
        <v>1309500087338</v>
      </c>
      <c r="D19" s="126" t="s">
        <v>34</v>
      </c>
      <c r="E19" s="127" t="s">
        <v>252</v>
      </c>
      <c r="F19" s="128" t="s">
        <v>253</v>
      </c>
      <c r="G19" s="17"/>
      <c r="H19" s="17"/>
      <c r="I19" s="17"/>
      <c r="J19" s="17"/>
      <c r="K19" s="17"/>
    </row>
    <row r="20" spans="1:11" s="23" customFormat="1" ht="20.149999999999999" customHeight="1">
      <c r="A20" s="11">
        <v>17</v>
      </c>
      <c r="B20" s="124">
        <v>1746</v>
      </c>
      <c r="C20" s="125">
        <v>1219901760981</v>
      </c>
      <c r="D20" s="126" t="s">
        <v>34</v>
      </c>
      <c r="E20" s="127" t="s">
        <v>254</v>
      </c>
      <c r="F20" s="128" t="s">
        <v>255</v>
      </c>
      <c r="G20" s="17"/>
      <c r="H20" s="17"/>
      <c r="I20" s="17"/>
      <c r="J20" s="17"/>
      <c r="K20" s="17"/>
    </row>
    <row r="21" spans="1:11" s="23" customFormat="1" ht="20.149999999999999" customHeight="1">
      <c r="A21" s="11">
        <v>18</v>
      </c>
      <c r="B21" s="124">
        <v>1747</v>
      </c>
      <c r="C21" s="125">
        <v>1309500086692</v>
      </c>
      <c r="D21" s="126" t="s">
        <v>34</v>
      </c>
      <c r="E21" s="127" t="s">
        <v>256</v>
      </c>
      <c r="F21" s="128" t="s">
        <v>257</v>
      </c>
      <c r="G21" s="17"/>
      <c r="H21" s="17"/>
      <c r="I21" s="17"/>
      <c r="J21" s="17"/>
      <c r="K21" s="17"/>
    </row>
    <row r="22" spans="1:11" s="23" customFormat="1" ht="20.149999999999999" customHeight="1">
      <c r="A22" s="11">
        <v>19</v>
      </c>
      <c r="B22" s="124">
        <v>1748</v>
      </c>
      <c r="C22" s="125">
        <v>1309500084312</v>
      </c>
      <c r="D22" s="126" t="s">
        <v>34</v>
      </c>
      <c r="E22" s="172" t="s">
        <v>438</v>
      </c>
      <c r="F22" s="128" t="s">
        <v>151</v>
      </c>
      <c r="G22" s="17"/>
      <c r="H22" s="17"/>
      <c r="I22" s="17"/>
      <c r="J22" s="17"/>
      <c r="K22" s="17"/>
    </row>
    <row r="23" spans="1:11" s="23" customFormat="1" ht="20.149999999999999" customHeight="1">
      <c r="A23" s="11">
        <v>20</v>
      </c>
      <c r="B23" s="124">
        <v>1750</v>
      </c>
      <c r="C23" s="125">
        <v>1309500093117</v>
      </c>
      <c r="D23" s="126" t="s">
        <v>34</v>
      </c>
      <c r="E23" s="127" t="s">
        <v>258</v>
      </c>
      <c r="F23" s="128" t="s">
        <v>111</v>
      </c>
      <c r="G23" s="17"/>
      <c r="H23" s="17"/>
      <c r="I23" s="17"/>
      <c r="J23" s="17"/>
      <c r="K23" s="17"/>
    </row>
    <row r="24" spans="1:11" s="23" customFormat="1" ht="20.149999999999999" customHeight="1">
      <c r="A24" s="11">
        <v>21</v>
      </c>
      <c r="B24" s="124">
        <v>1751</v>
      </c>
      <c r="C24" s="125">
        <v>1309904701127</v>
      </c>
      <c r="D24" s="126" t="s">
        <v>34</v>
      </c>
      <c r="E24" s="127" t="s">
        <v>259</v>
      </c>
      <c r="F24" s="128" t="s">
        <v>260</v>
      </c>
      <c r="G24" s="17"/>
      <c r="H24" s="17"/>
      <c r="I24" s="17"/>
      <c r="J24" s="17"/>
      <c r="K24" s="17"/>
    </row>
    <row r="25" spans="1:11" s="23" customFormat="1" ht="20.149999999999999" customHeight="1">
      <c r="A25" s="11">
        <v>22</v>
      </c>
      <c r="B25" s="124">
        <v>1752</v>
      </c>
      <c r="C25" s="125">
        <v>1309904701119</v>
      </c>
      <c r="D25" s="126" t="s">
        <v>34</v>
      </c>
      <c r="E25" s="127" t="s">
        <v>261</v>
      </c>
      <c r="F25" s="128" t="s">
        <v>260</v>
      </c>
      <c r="G25" s="74"/>
      <c r="H25" s="17"/>
      <c r="I25" s="17"/>
      <c r="J25" s="17"/>
      <c r="K25" s="17"/>
    </row>
    <row r="26" spans="1:11" s="23" customFormat="1" ht="20.149999999999999" customHeight="1">
      <c r="A26" s="11">
        <v>23</v>
      </c>
      <c r="B26" s="124">
        <v>1753</v>
      </c>
      <c r="C26" s="125">
        <v>1129701758428</v>
      </c>
      <c r="D26" s="126" t="s">
        <v>34</v>
      </c>
      <c r="E26" s="127" t="s">
        <v>262</v>
      </c>
      <c r="F26" s="128" t="s">
        <v>263</v>
      </c>
      <c r="G26" s="17"/>
      <c r="H26" s="17"/>
      <c r="I26" s="17"/>
      <c r="J26" s="17"/>
      <c r="K26" s="17"/>
    </row>
    <row r="27" spans="1:11" s="23" customFormat="1" ht="20.149999999999999" customHeight="1">
      <c r="A27" s="11">
        <v>24</v>
      </c>
      <c r="B27" s="124">
        <v>1754</v>
      </c>
      <c r="C27" s="125">
        <v>1309500082611</v>
      </c>
      <c r="D27" s="126" t="s">
        <v>34</v>
      </c>
      <c r="E27" s="127" t="s">
        <v>264</v>
      </c>
      <c r="F27" s="128" t="s">
        <v>19</v>
      </c>
      <c r="G27" s="17"/>
      <c r="H27" s="17"/>
      <c r="I27" s="17"/>
      <c r="J27" s="17"/>
      <c r="K27" s="17"/>
    </row>
    <row r="28" spans="1:11" s="23" customFormat="1" ht="20.149999999999999" customHeight="1">
      <c r="A28" s="11">
        <v>25</v>
      </c>
      <c r="B28" s="124">
        <v>1755</v>
      </c>
      <c r="C28" s="125">
        <v>1309500082662</v>
      </c>
      <c r="D28" s="126" t="s">
        <v>34</v>
      </c>
      <c r="E28" s="127" t="s">
        <v>265</v>
      </c>
      <c r="F28" s="128" t="s">
        <v>64</v>
      </c>
      <c r="G28" s="17"/>
      <c r="H28" s="17"/>
      <c r="I28" s="17"/>
      <c r="J28" s="17"/>
      <c r="K28" s="17"/>
    </row>
    <row r="29" spans="1:11" s="23" customFormat="1" ht="20.149999999999999" customHeight="1">
      <c r="A29" s="11">
        <v>26</v>
      </c>
      <c r="B29" s="124">
        <v>1777</v>
      </c>
      <c r="C29" s="125">
        <v>1309500081721</v>
      </c>
      <c r="D29" s="126" t="s">
        <v>34</v>
      </c>
      <c r="E29" s="127" t="s">
        <v>413</v>
      </c>
      <c r="F29" s="128" t="s">
        <v>83</v>
      </c>
      <c r="G29" s="17"/>
      <c r="H29" s="17"/>
      <c r="I29" s="17"/>
      <c r="J29" s="17"/>
      <c r="K29" s="17"/>
    </row>
    <row r="30" spans="1:11" ht="20.149999999999999" customHeight="1">
      <c r="A30" s="11">
        <v>27</v>
      </c>
      <c r="B30" s="134">
        <v>1803</v>
      </c>
      <c r="C30" s="133">
        <v>1478900112443</v>
      </c>
      <c r="D30" s="126" t="s">
        <v>34</v>
      </c>
      <c r="E30" s="138" t="s">
        <v>286</v>
      </c>
      <c r="F30" s="139" t="s">
        <v>287</v>
      </c>
      <c r="G30" s="75"/>
      <c r="H30" s="75"/>
      <c r="I30" s="75"/>
      <c r="J30" s="75"/>
      <c r="K30" s="75"/>
    </row>
    <row r="31" spans="1:11" ht="20.149999999999999" customHeight="1">
      <c r="A31" s="11">
        <v>28</v>
      </c>
      <c r="B31" s="132">
        <v>1804</v>
      </c>
      <c r="C31" s="133">
        <v>1309904702883</v>
      </c>
      <c r="D31" s="126" t="s">
        <v>34</v>
      </c>
      <c r="E31" s="127" t="s">
        <v>285</v>
      </c>
      <c r="F31" s="128" t="s">
        <v>19</v>
      </c>
      <c r="G31" s="75"/>
      <c r="H31" s="75"/>
      <c r="I31" s="75"/>
      <c r="J31" s="75"/>
      <c r="K31" s="75"/>
    </row>
    <row r="32" spans="1:11" ht="20.149999999999999" customHeight="1">
      <c r="A32" s="11">
        <v>29</v>
      </c>
      <c r="B32" s="132">
        <v>1805</v>
      </c>
      <c r="C32" s="133">
        <v>1309904702905</v>
      </c>
      <c r="D32" s="126" t="s">
        <v>34</v>
      </c>
      <c r="E32" s="127" t="s">
        <v>284</v>
      </c>
      <c r="F32" s="128" t="s">
        <v>19</v>
      </c>
      <c r="G32" s="75"/>
      <c r="H32" s="75"/>
      <c r="I32" s="75"/>
      <c r="J32" s="75"/>
      <c r="K32" s="75"/>
    </row>
    <row r="33" spans="1:11" ht="20.149999999999999" customHeight="1">
      <c r="A33" s="11">
        <v>30</v>
      </c>
      <c r="B33" s="132">
        <v>1830</v>
      </c>
      <c r="C33" s="133">
        <v>1309500078541</v>
      </c>
      <c r="D33" s="126" t="s">
        <v>34</v>
      </c>
      <c r="E33" s="136" t="s">
        <v>326</v>
      </c>
      <c r="F33" s="137" t="s">
        <v>19</v>
      </c>
      <c r="G33" s="75"/>
      <c r="H33" s="75"/>
      <c r="I33" s="75"/>
      <c r="J33" s="75"/>
      <c r="K33" s="75"/>
    </row>
    <row r="34" spans="1:11" ht="20.149999999999999" customHeight="1">
      <c r="A34" s="11">
        <v>31</v>
      </c>
      <c r="B34" s="124">
        <v>1832</v>
      </c>
      <c r="C34" s="125">
        <v>1368700064675</v>
      </c>
      <c r="D34" s="126" t="s">
        <v>34</v>
      </c>
      <c r="E34" s="127" t="s">
        <v>327</v>
      </c>
      <c r="F34" s="128" t="s">
        <v>328</v>
      </c>
      <c r="G34" s="75"/>
      <c r="H34" s="75"/>
      <c r="I34" s="75"/>
      <c r="J34" s="75"/>
      <c r="K34" s="75"/>
    </row>
    <row r="35" spans="1:11" ht="20.149999999999999" customHeight="1">
      <c r="A35" s="11">
        <v>32</v>
      </c>
      <c r="B35" s="132">
        <v>1854</v>
      </c>
      <c r="C35" s="133">
        <v>1309500083065</v>
      </c>
      <c r="D35" s="126" t="s">
        <v>34</v>
      </c>
      <c r="E35" s="140" t="s">
        <v>350</v>
      </c>
      <c r="F35" s="141" t="s">
        <v>272</v>
      </c>
      <c r="G35" s="75"/>
      <c r="H35" s="75"/>
      <c r="I35" s="75"/>
      <c r="J35" s="75"/>
      <c r="K35" s="75"/>
    </row>
    <row r="36" spans="1:11" ht="24">
      <c r="A36" s="11">
        <v>33</v>
      </c>
      <c r="B36" s="124">
        <v>1876</v>
      </c>
      <c r="C36" s="125">
        <v>1306200179617</v>
      </c>
      <c r="D36" s="126" t="s">
        <v>34</v>
      </c>
      <c r="E36" s="127" t="s">
        <v>386</v>
      </c>
      <c r="F36" s="128" t="s">
        <v>387</v>
      </c>
      <c r="G36" s="17"/>
      <c r="H36" s="17"/>
      <c r="I36" s="17"/>
      <c r="J36" s="17"/>
      <c r="K36" s="17"/>
    </row>
    <row r="37" spans="1:11" ht="20.5">
      <c r="A37" s="11"/>
      <c r="B37" s="71"/>
      <c r="C37" s="13"/>
      <c r="D37" s="14"/>
      <c r="E37" s="15"/>
      <c r="F37" s="16"/>
      <c r="G37" s="17"/>
      <c r="H37" s="17"/>
      <c r="I37" s="17"/>
      <c r="J37" s="17"/>
      <c r="K37" s="17"/>
    </row>
    <row r="38" spans="1:11" ht="20.5">
      <c r="A38" s="11"/>
      <c r="B38" s="19"/>
      <c r="C38" s="25"/>
      <c r="D38" s="14"/>
      <c r="E38" s="76"/>
      <c r="F38" s="77"/>
      <c r="G38" s="17"/>
      <c r="H38" s="17"/>
      <c r="I38" s="17"/>
      <c r="J38" s="17"/>
      <c r="K38" s="17"/>
    </row>
    <row r="39" spans="1:11" ht="20.5">
      <c r="A39" s="11"/>
      <c r="B39" s="24"/>
      <c r="C39" s="73"/>
      <c r="D39" s="18"/>
      <c r="E39" s="23"/>
      <c r="F39" s="23"/>
      <c r="G39" s="17"/>
      <c r="H39" s="17"/>
      <c r="I39" s="17"/>
      <c r="J39" s="17"/>
      <c r="K39" s="17"/>
    </row>
    <row r="40" spans="1:11" ht="20.5">
      <c r="A40" s="11"/>
      <c r="B40" s="11"/>
      <c r="C40" s="25"/>
      <c r="D40" s="78"/>
      <c r="E40" s="26"/>
      <c r="F40" s="27"/>
      <c r="G40" s="17"/>
      <c r="H40" s="17"/>
      <c r="I40" s="17"/>
      <c r="J40" s="17"/>
      <c r="K40" s="17"/>
    </row>
    <row r="41" spans="1:11" ht="20.5">
      <c r="A41" s="11"/>
      <c r="B41" s="11"/>
      <c r="C41" s="25"/>
      <c r="D41" s="78"/>
      <c r="E41" s="26"/>
      <c r="F41" s="27"/>
      <c r="G41" s="17"/>
      <c r="H41" s="17"/>
      <c r="I41" s="17"/>
      <c r="J41" s="17"/>
      <c r="K41" s="17"/>
    </row>
    <row r="43" spans="1:11" ht="20.5">
      <c r="A43" s="23"/>
      <c r="B43" s="23"/>
      <c r="C43" s="23"/>
    </row>
    <row r="44" spans="1:11" ht="20.5">
      <c r="D44" s="23"/>
      <c r="E44" s="23"/>
      <c r="F44" s="23"/>
      <c r="G44" s="23"/>
    </row>
    <row r="45" spans="1:11" ht="20.5">
      <c r="D45" s="226"/>
      <c r="E45" s="226"/>
      <c r="F45" s="226"/>
      <c r="G45" s="226"/>
    </row>
    <row r="46" spans="1:11" ht="20.5">
      <c r="D46" s="226"/>
      <c r="E46" s="226"/>
      <c r="F46" s="226"/>
      <c r="G46" s="226"/>
    </row>
  </sheetData>
  <mergeCells count="5">
    <mergeCell ref="A1:K1"/>
    <mergeCell ref="A2:K2"/>
    <mergeCell ref="D3:F3"/>
    <mergeCell ref="D45:G45"/>
    <mergeCell ref="D46:G46"/>
  </mergeCells>
  <pageMargins left="0.76" right="0.37" top="0.56000000000000005" bottom="0.44" header="0.3" footer="0.3"/>
  <pageSetup paperSize="9" scale="92" orientation="portrait" horizontalDpi="4294967293" verticalDpi="1200" r:id="rId1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B334-CC76-47EE-A9D2-F34649DB0561}">
  <dimension ref="A1:K34"/>
  <sheetViews>
    <sheetView zoomScale="78" zoomScaleNormal="78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8.72656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1" ht="20.25" customHeight="1">
      <c r="A1" s="227" t="s">
        <v>465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1" s="36" customFormat="1" ht="21" customHeight="1">
      <c r="A2" s="228" t="s">
        <v>449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1" s="36" customFormat="1" ht="20.5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1" s="36" customFormat="1" ht="20.5">
      <c r="A4" s="11">
        <v>1</v>
      </c>
      <c r="B4" s="11">
        <v>1687</v>
      </c>
      <c r="C4" s="25">
        <v>1309500061932</v>
      </c>
      <c r="D4" s="14" t="s">
        <v>2</v>
      </c>
      <c r="E4" s="26" t="s">
        <v>177</v>
      </c>
      <c r="F4" s="27" t="s">
        <v>6</v>
      </c>
      <c r="G4" s="35"/>
      <c r="H4" s="35"/>
      <c r="I4" s="35"/>
      <c r="J4" s="35"/>
      <c r="K4" s="35"/>
    </row>
    <row r="5" spans="1:11" s="36" customFormat="1" ht="20.5">
      <c r="A5" s="11">
        <v>2</v>
      </c>
      <c r="B5" s="11">
        <v>1688</v>
      </c>
      <c r="C5" s="25">
        <v>1309904550943</v>
      </c>
      <c r="D5" s="14" t="s">
        <v>2</v>
      </c>
      <c r="E5" s="26" t="s">
        <v>178</v>
      </c>
      <c r="F5" s="27" t="s">
        <v>151</v>
      </c>
      <c r="G5" s="35"/>
      <c r="H5" s="35"/>
      <c r="I5" s="35"/>
      <c r="J5" s="35"/>
      <c r="K5" s="35"/>
    </row>
    <row r="6" spans="1:11" s="36" customFormat="1" ht="20.5">
      <c r="A6" s="11">
        <v>3</v>
      </c>
      <c r="B6" s="11">
        <v>1716</v>
      </c>
      <c r="C6" s="25">
        <v>1779900558075</v>
      </c>
      <c r="D6" s="14" t="s">
        <v>2</v>
      </c>
      <c r="E6" s="26" t="s">
        <v>28</v>
      </c>
      <c r="F6" s="27" t="s">
        <v>155</v>
      </c>
      <c r="G6" s="35"/>
      <c r="H6" s="35"/>
      <c r="I6" s="35"/>
      <c r="J6" s="35"/>
      <c r="K6" s="35"/>
    </row>
    <row r="7" spans="1:11" s="36" customFormat="1" ht="20.5">
      <c r="A7" s="11">
        <v>4</v>
      </c>
      <c r="B7" s="11">
        <v>1717</v>
      </c>
      <c r="C7" s="25">
        <v>1309500074449</v>
      </c>
      <c r="D7" s="14" t="s">
        <v>2</v>
      </c>
      <c r="E7" s="26" t="s">
        <v>234</v>
      </c>
      <c r="F7" s="27" t="s">
        <v>145</v>
      </c>
      <c r="G7" s="35"/>
      <c r="H7" s="35"/>
      <c r="I7" s="35"/>
      <c r="J7" s="35"/>
      <c r="K7" s="35"/>
    </row>
    <row r="8" spans="1:11" s="36" customFormat="1" ht="20.5">
      <c r="A8" s="11">
        <v>5</v>
      </c>
      <c r="B8" s="11">
        <v>1718</v>
      </c>
      <c r="C8" s="25">
        <v>1309500071695</v>
      </c>
      <c r="D8" s="14" t="s">
        <v>2</v>
      </c>
      <c r="E8" s="26" t="s">
        <v>243</v>
      </c>
      <c r="F8" s="27" t="s">
        <v>229</v>
      </c>
      <c r="G8" s="35"/>
      <c r="H8" s="35"/>
      <c r="I8" s="35"/>
      <c r="J8" s="35"/>
      <c r="K8" s="35"/>
    </row>
    <row r="9" spans="1:11" s="36" customFormat="1" ht="20.5">
      <c r="A9" s="11">
        <v>6</v>
      </c>
      <c r="B9" s="11">
        <v>1719</v>
      </c>
      <c r="C9" s="25">
        <v>1309904583728</v>
      </c>
      <c r="D9" s="14" t="s">
        <v>2</v>
      </c>
      <c r="E9" s="26" t="s">
        <v>235</v>
      </c>
      <c r="F9" s="27" t="s">
        <v>163</v>
      </c>
      <c r="G9" s="35"/>
      <c r="H9" s="35"/>
      <c r="I9" s="35"/>
      <c r="J9" s="35"/>
      <c r="K9" s="35"/>
    </row>
    <row r="10" spans="1:11" s="36" customFormat="1" ht="20.5">
      <c r="A10" s="11">
        <v>7</v>
      </c>
      <c r="B10" s="11">
        <v>1720</v>
      </c>
      <c r="C10" s="25">
        <v>1306500027766</v>
      </c>
      <c r="D10" s="14" t="s">
        <v>2</v>
      </c>
      <c r="E10" s="26" t="s">
        <v>244</v>
      </c>
      <c r="F10" s="27" t="s">
        <v>230</v>
      </c>
      <c r="G10" s="35"/>
      <c r="H10" s="35"/>
      <c r="I10" s="35"/>
      <c r="J10" s="35"/>
      <c r="K10" s="35"/>
    </row>
    <row r="11" spans="1:11" s="36" customFormat="1" ht="20.5">
      <c r="A11" s="11">
        <v>8</v>
      </c>
      <c r="B11" s="11">
        <v>1721</v>
      </c>
      <c r="C11" s="25">
        <v>1309500067850</v>
      </c>
      <c r="D11" s="14" t="s">
        <v>2</v>
      </c>
      <c r="E11" s="26" t="s">
        <v>236</v>
      </c>
      <c r="F11" s="27" t="s">
        <v>121</v>
      </c>
      <c r="G11" s="35"/>
      <c r="H11" s="35"/>
      <c r="I11" s="35"/>
      <c r="J11" s="35"/>
      <c r="K11" s="35"/>
    </row>
    <row r="12" spans="1:11" s="36" customFormat="1" ht="20.5">
      <c r="A12" s="11">
        <v>9</v>
      </c>
      <c r="B12" s="11">
        <v>1722</v>
      </c>
      <c r="C12" s="25">
        <v>1309500075160</v>
      </c>
      <c r="D12" s="14" t="s">
        <v>2</v>
      </c>
      <c r="E12" s="26" t="s">
        <v>237</v>
      </c>
      <c r="F12" s="27" t="s">
        <v>231</v>
      </c>
      <c r="G12" s="35"/>
      <c r="H12" s="35"/>
      <c r="I12" s="35"/>
      <c r="J12" s="35"/>
      <c r="K12" s="35"/>
    </row>
    <row r="13" spans="1:11" s="36" customFormat="1" ht="20.5">
      <c r="A13" s="11">
        <v>10</v>
      </c>
      <c r="B13" s="11">
        <v>1723</v>
      </c>
      <c r="C13" s="25">
        <v>1309500066756</v>
      </c>
      <c r="D13" s="14" t="s">
        <v>2</v>
      </c>
      <c r="E13" s="26" t="s">
        <v>238</v>
      </c>
      <c r="F13" s="27" t="s">
        <v>123</v>
      </c>
      <c r="G13" s="35"/>
      <c r="H13" s="35"/>
      <c r="I13" s="35"/>
      <c r="J13" s="35"/>
      <c r="K13" s="35"/>
    </row>
    <row r="14" spans="1:11" s="36" customFormat="1" ht="20.5">
      <c r="A14" s="11">
        <v>11</v>
      </c>
      <c r="B14" s="11">
        <v>1725</v>
      </c>
      <c r="C14" s="25">
        <v>1309500067671</v>
      </c>
      <c r="D14" s="14" t="s">
        <v>2</v>
      </c>
      <c r="E14" s="26" t="s">
        <v>232</v>
      </c>
      <c r="F14" s="27" t="s">
        <v>172</v>
      </c>
      <c r="G14" s="35"/>
      <c r="H14" s="35"/>
      <c r="I14" s="35"/>
      <c r="J14" s="35"/>
      <c r="K14" s="35"/>
    </row>
    <row r="15" spans="1:11" s="36" customFormat="1" ht="20.5">
      <c r="A15" s="11">
        <v>12</v>
      </c>
      <c r="B15" s="11">
        <v>1782</v>
      </c>
      <c r="C15" s="25">
        <v>1439900862613</v>
      </c>
      <c r="D15" s="14" t="s">
        <v>2</v>
      </c>
      <c r="E15" s="26" t="s">
        <v>279</v>
      </c>
      <c r="F15" s="27" t="s">
        <v>280</v>
      </c>
      <c r="G15" s="35"/>
      <c r="H15" s="35"/>
      <c r="I15" s="35"/>
      <c r="J15" s="35"/>
      <c r="K15" s="35"/>
    </row>
    <row r="16" spans="1:11" s="36" customFormat="1" ht="20.5">
      <c r="A16" s="11">
        <v>13</v>
      </c>
      <c r="B16" s="71">
        <v>1855</v>
      </c>
      <c r="C16" s="82">
        <v>1309500064818</v>
      </c>
      <c r="D16" s="209" t="s">
        <v>2</v>
      </c>
      <c r="E16" s="23" t="s">
        <v>356</v>
      </c>
      <c r="F16" s="23" t="s">
        <v>344</v>
      </c>
      <c r="G16" s="35"/>
      <c r="H16" s="35"/>
      <c r="I16" s="35"/>
      <c r="J16" s="35"/>
      <c r="K16" s="35"/>
    </row>
    <row r="17" spans="1:11" s="36" customFormat="1" ht="20.5">
      <c r="A17" s="11">
        <v>14</v>
      </c>
      <c r="B17" s="11">
        <v>1726</v>
      </c>
      <c r="C17" s="25">
        <v>1309500075071</v>
      </c>
      <c r="D17" s="14" t="s">
        <v>34</v>
      </c>
      <c r="E17" s="26" t="s">
        <v>239</v>
      </c>
      <c r="F17" s="27" t="s">
        <v>240</v>
      </c>
      <c r="G17" s="35"/>
      <c r="H17" s="35"/>
      <c r="I17" s="35"/>
      <c r="J17" s="35"/>
      <c r="K17" s="35"/>
    </row>
    <row r="18" spans="1:11" s="36" customFormat="1" ht="20.5">
      <c r="A18" s="11">
        <v>15</v>
      </c>
      <c r="B18" s="11">
        <v>1727</v>
      </c>
      <c r="C18" s="25">
        <v>1309500066233</v>
      </c>
      <c r="D18" s="14" t="s">
        <v>34</v>
      </c>
      <c r="E18" s="26" t="s">
        <v>241</v>
      </c>
      <c r="F18" s="27" t="s">
        <v>64</v>
      </c>
      <c r="G18" s="35"/>
      <c r="H18" s="35"/>
      <c r="I18" s="35"/>
      <c r="J18" s="35"/>
      <c r="K18" s="35"/>
    </row>
    <row r="19" spans="1:11" s="36" customFormat="1" ht="20.5">
      <c r="A19" s="11">
        <v>16</v>
      </c>
      <c r="B19" s="11">
        <v>1728</v>
      </c>
      <c r="C19" s="25">
        <v>1309500062815</v>
      </c>
      <c r="D19" s="14" t="s">
        <v>34</v>
      </c>
      <c r="E19" s="26" t="s">
        <v>242</v>
      </c>
      <c r="F19" s="27" t="s">
        <v>6</v>
      </c>
      <c r="G19" s="35"/>
      <c r="H19" s="35"/>
      <c r="I19" s="35"/>
      <c r="J19" s="35"/>
      <c r="K19" s="35"/>
    </row>
    <row r="20" spans="1:11" s="36" customFormat="1" ht="20.5">
      <c r="A20" s="11">
        <v>17</v>
      </c>
      <c r="B20" s="11">
        <v>1775</v>
      </c>
      <c r="C20" s="25">
        <v>1309500072381</v>
      </c>
      <c r="D20" s="84" t="s">
        <v>34</v>
      </c>
      <c r="E20" s="85" t="s">
        <v>266</v>
      </c>
      <c r="F20" s="86" t="s">
        <v>151</v>
      </c>
      <c r="G20" s="35"/>
      <c r="H20" s="35"/>
      <c r="I20" s="35"/>
      <c r="J20" s="35"/>
      <c r="K20" s="35"/>
    </row>
    <row r="21" spans="1:11" s="36" customFormat="1" ht="20.5">
      <c r="A21" s="11">
        <v>18</v>
      </c>
      <c r="B21" s="11">
        <v>1818</v>
      </c>
      <c r="C21" s="25">
        <v>1309500074252</v>
      </c>
      <c r="D21" s="84" t="s">
        <v>34</v>
      </c>
      <c r="E21" s="26" t="s">
        <v>283</v>
      </c>
      <c r="F21" s="27" t="s">
        <v>4</v>
      </c>
      <c r="G21" s="35"/>
      <c r="H21" s="35"/>
      <c r="I21" s="35"/>
      <c r="J21" s="35"/>
      <c r="K21" s="35"/>
    </row>
    <row r="22" spans="1:11" s="36" customFormat="1" ht="20.5">
      <c r="A22" s="11">
        <v>19</v>
      </c>
      <c r="B22" s="159">
        <v>1819</v>
      </c>
      <c r="C22" s="160">
        <v>1319800803039</v>
      </c>
      <c r="D22" s="18" t="s">
        <v>34</v>
      </c>
      <c r="E22" s="15" t="s">
        <v>319</v>
      </c>
      <c r="F22" s="16" t="s">
        <v>320</v>
      </c>
      <c r="G22" s="35"/>
      <c r="H22" s="35"/>
      <c r="I22" s="35"/>
      <c r="J22" s="35"/>
      <c r="K22" s="35"/>
    </row>
    <row r="23" spans="1:11" s="36" customFormat="1" ht="20.5">
      <c r="A23" s="18"/>
      <c r="B23" s="114"/>
      <c r="C23" s="114"/>
      <c r="G23" s="35"/>
      <c r="H23" s="35"/>
      <c r="I23" s="35"/>
      <c r="J23" s="35"/>
      <c r="K23" s="35"/>
    </row>
    <row r="24" spans="1:11" s="36" customFormat="1" ht="20.5">
      <c r="A24" s="11"/>
      <c r="B24" s="21"/>
      <c r="C24" s="161"/>
      <c r="D24" s="14"/>
      <c r="E24" s="26"/>
      <c r="F24" s="27"/>
      <c r="G24" s="35"/>
      <c r="H24" s="35"/>
      <c r="I24" s="35"/>
      <c r="J24" s="35"/>
      <c r="K24" s="35"/>
    </row>
    <row r="25" spans="1:11" s="36" customFormat="1" ht="20.5">
      <c r="A25" s="29"/>
      <c r="B25" s="29"/>
      <c r="C25" s="30"/>
      <c r="D25" s="31"/>
      <c r="E25" s="32"/>
      <c r="F25" s="33"/>
      <c r="G25" s="35"/>
      <c r="H25" s="35"/>
      <c r="I25" s="35"/>
      <c r="J25" s="35"/>
      <c r="K25" s="35"/>
    </row>
    <row r="26" spans="1:11" s="36" customFormat="1" ht="20.5">
      <c r="A26" s="29"/>
      <c r="B26" s="29"/>
      <c r="C26" s="30"/>
      <c r="D26" s="31"/>
      <c r="E26" s="32"/>
      <c r="F26" s="33"/>
      <c r="G26" s="35"/>
      <c r="H26" s="35"/>
      <c r="I26" s="35"/>
      <c r="J26" s="35"/>
      <c r="K26" s="35"/>
    </row>
    <row r="27" spans="1:11" s="36" customFormat="1" ht="20.5">
      <c r="A27" s="29"/>
      <c r="B27" s="29"/>
      <c r="C27" s="30"/>
      <c r="D27" s="87"/>
      <c r="E27" s="32"/>
      <c r="F27" s="33"/>
      <c r="G27" s="35"/>
      <c r="H27" s="35"/>
      <c r="I27" s="35"/>
      <c r="J27" s="35"/>
      <c r="K27" s="35"/>
    </row>
    <row r="28" spans="1:11" s="36" customFormat="1" ht="20.5">
      <c r="A28" s="29"/>
      <c r="B28" s="29"/>
      <c r="C28" s="30"/>
      <c r="D28" s="87"/>
      <c r="E28" s="32"/>
      <c r="F28" s="33"/>
      <c r="G28" s="35"/>
      <c r="H28" s="35"/>
      <c r="I28" s="35"/>
      <c r="J28" s="35"/>
      <c r="K28" s="35"/>
    </row>
    <row r="30" spans="1:11" ht="20.5">
      <c r="A30" s="36"/>
      <c r="B30" s="36"/>
      <c r="C30" s="36"/>
    </row>
    <row r="31" spans="1:11" ht="20.5">
      <c r="A31" s="36"/>
      <c r="B31" s="36"/>
      <c r="C31" s="36"/>
    </row>
    <row r="32" spans="1:11" ht="20.5">
      <c r="D32" s="36"/>
      <c r="E32" s="36"/>
      <c r="F32" s="36"/>
      <c r="G32" s="36"/>
    </row>
    <row r="33" spans="4:7" ht="20.5">
      <c r="D33" s="230"/>
      <c r="E33" s="230"/>
      <c r="F33" s="230"/>
      <c r="G33" s="230"/>
    </row>
    <row r="34" spans="4:7" ht="20.5">
      <c r="D34" s="230"/>
      <c r="E34" s="230"/>
      <c r="F34" s="230"/>
      <c r="G34" s="230"/>
    </row>
  </sheetData>
  <mergeCells count="5">
    <mergeCell ref="A1:K1"/>
    <mergeCell ref="A2:K2"/>
    <mergeCell ref="D3:F3"/>
    <mergeCell ref="D33:G33"/>
    <mergeCell ref="D34:G34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DCF7-1C7C-493C-B2EA-731D931B1119}">
  <dimension ref="A1:K41"/>
  <sheetViews>
    <sheetView zoomScale="70" zoomScaleNormal="70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1" ht="20.25" customHeight="1">
      <c r="A1" s="227" t="s">
        <v>466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1" s="36" customFormat="1" ht="21" customHeight="1">
      <c r="A2" s="228" t="s">
        <v>430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1" s="36" customFormat="1" ht="20.5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1" s="36" customFormat="1" ht="20.5">
      <c r="A4" s="29">
        <v>1</v>
      </c>
      <c r="B4" s="29">
        <v>1639</v>
      </c>
      <c r="C4" s="30">
        <v>1309500046810</v>
      </c>
      <c r="D4" s="31" t="s">
        <v>2</v>
      </c>
      <c r="E4" s="32" t="s">
        <v>152</v>
      </c>
      <c r="F4" s="33" t="s">
        <v>165</v>
      </c>
      <c r="G4" s="35"/>
      <c r="H4" s="35"/>
      <c r="I4" s="35"/>
      <c r="J4" s="35"/>
      <c r="K4" s="35"/>
    </row>
    <row r="5" spans="1:11" s="36" customFormat="1" ht="20.5">
      <c r="A5" s="29">
        <v>2</v>
      </c>
      <c r="B5" s="29">
        <v>1676</v>
      </c>
      <c r="C5" s="30">
        <v>1309500048413</v>
      </c>
      <c r="D5" s="31" t="s">
        <v>2</v>
      </c>
      <c r="E5" s="32" t="s">
        <v>166</v>
      </c>
      <c r="F5" s="33" t="s">
        <v>105</v>
      </c>
      <c r="G5" s="35"/>
      <c r="H5" s="35"/>
      <c r="I5" s="35"/>
      <c r="J5" s="35"/>
      <c r="K5" s="35"/>
    </row>
    <row r="6" spans="1:11" s="36" customFormat="1" ht="20.5">
      <c r="A6" s="29">
        <v>3</v>
      </c>
      <c r="B6" s="29">
        <v>1677</v>
      </c>
      <c r="C6" s="30">
        <v>1309500053085</v>
      </c>
      <c r="D6" s="31" t="s">
        <v>2</v>
      </c>
      <c r="E6" s="32" t="s">
        <v>167</v>
      </c>
      <c r="F6" s="33" t="s">
        <v>97</v>
      </c>
      <c r="G6" s="35"/>
      <c r="H6" s="35"/>
      <c r="I6" s="35"/>
      <c r="J6" s="35"/>
      <c r="K6" s="35"/>
    </row>
    <row r="7" spans="1:11" s="36" customFormat="1" ht="20.5">
      <c r="A7" s="29">
        <v>4</v>
      </c>
      <c r="B7" s="29">
        <v>1678</v>
      </c>
      <c r="C7" s="30">
        <v>1309904492684</v>
      </c>
      <c r="D7" s="31" t="s">
        <v>2</v>
      </c>
      <c r="E7" s="32" t="s">
        <v>44</v>
      </c>
      <c r="F7" s="33" t="s">
        <v>80</v>
      </c>
      <c r="G7" s="35"/>
      <c r="H7" s="35"/>
      <c r="I7" s="35"/>
      <c r="J7" s="35"/>
      <c r="K7" s="35"/>
    </row>
    <row r="8" spans="1:11" s="36" customFormat="1" ht="20.5">
      <c r="A8" s="29">
        <v>5</v>
      </c>
      <c r="B8" s="29">
        <v>1679</v>
      </c>
      <c r="C8" s="30">
        <v>1309904495268</v>
      </c>
      <c r="D8" s="31" t="s">
        <v>2</v>
      </c>
      <c r="E8" s="32" t="s">
        <v>13</v>
      </c>
      <c r="F8" s="33" t="s">
        <v>138</v>
      </c>
      <c r="G8" s="35"/>
      <c r="H8" s="35"/>
      <c r="I8" s="35"/>
      <c r="J8" s="35"/>
      <c r="K8" s="35"/>
    </row>
    <row r="9" spans="1:11" s="36" customFormat="1" ht="20.5">
      <c r="A9" s="29">
        <v>6</v>
      </c>
      <c r="B9" s="29">
        <v>1680</v>
      </c>
      <c r="C9" s="30">
        <v>1309904495284</v>
      </c>
      <c r="D9" s="31" t="s">
        <v>2</v>
      </c>
      <c r="E9" s="32" t="s">
        <v>168</v>
      </c>
      <c r="F9" s="33" t="s">
        <v>138</v>
      </c>
      <c r="G9" s="35"/>
      <c r="H9" s="35"/>
      <c r="I9" s="35"/>
      <c r="J9" s="35"/>
      <c r="K9" s="35"/>
    </row>
    <row r="10" spans="1:11" s="36" customFormat="1" ht="20.5">
      <c r="A10" s="29">
        <v>7</v>
      </c>
      <c r="B10" s="29">
        <v>1681</v>
      </c>
      <c r="C10" s="30">
        <v>1309500054979</v>
      </c>
      <c r="D10" s="31" t="s">
        <v>2</v>
      </c>
      <c r="E10" s="32" t="s">
        <v>169</v>
      </c>
      <c r="F10" s="33" t="s">
        <v>170</v>
      </c>
      <c r="G10" s="35"/>
      <c r="H10" s="35"/>
      <c r="I10" s="35"/>
      <c r="J10" s="35"/>
      <c r="K10" s="35"/>
    </row>
    <row r="11" spans="1:11" s="36" customFormat="1" ht="20.5">
      <c r="A11" s="29">
        <v>8</v>
      </c>
      <c r="B11" s="29">
        <v>1682</v>
      </c>
      <c r="C11" s="30">
        <v>1309500055746</v>
      </c>
      <c r="D11" s="31" t="s">
        <v>2</v>
      </c>
      <c r="E11" s="32" t="s">
        <v>171</v>
      </c>
      <c r="F11" s="33" t="s">
        <v>172</v>
      </c>
      <c r="G11" s="35"/>
      <c r="H11" s="35"/>
      <c r="I11" s="35"/>
      <c r="J11" s="35"/>
      <c r="K11" s="35"/>
    </row>
    <row r="12" spans="1:11" s="36" customFormat="1" ht="20.5">
      <c r="A12" s="29">
        <v>9</v>
      </c>
      <c r="B12" s="29">
        <v>1683</v>
      </c>
      <c r="C12" s="30">
        <v>1309500057706</v>
      </c>
      <c r="D12" s="31" t="s">
        <v>2</v>
      </c>
      <c r="E12" s="32" t="s">
        <v>173</v>
      </c>
      <c r="F12" s="33" t="s">
        <v>174</v>
      </c>
      <c r="G12" s="35"/>
      <c r="H12" s="35"/>
      <c r="I12" s="35"/>
      <c r="J12" s="35"/>
      <c r="K12" s="35"/>
    </row>
    <row r="13" spans="1:11" s="36" customFormat="1" ht="20.5">
      <c r="A13" s="29">
        <v>10</v>
      </c>
      <c r="B13" s="29">
        <v>1684</v>
      </c>
      <c r="C13" s="30">
        <v>1309500057561</v>
      </c>
      <c r="D13" s="31" t="s">
        <v>2</v>
      </c>
      <c r="E13" s="32" t="s">
        <v>175</v>
      </c>
      <c r="F13" s="33" t="s">
        <v>59</v>
      </c>
      <c r="G13" s="35"/>
      <c r="H13" s="35"/>
      <c r="I13" s="35"/>
      <c r="J13" s="35"/>
      <c r="K13" s="35"/>
    </row>
    <row r="14" spans="1:11" s="36" customFormat="1" ht="20.5">
      <c r="A14" s="29">
        <v>11</v>
      </c>
      <c r="B14" s="29">
        <v>1685</v>
      </c>
      <c r="C14" s="30">
        <v>1309500059105</v>
      </c>
      <c r="D14" s="31" t="s">
        <v>2</v>
      </c>
      <c r="E14" s="32" t="s">
        <v>86</v>
      </c>
      <c r="F14" s="33" t="s">
        <v>19</v>
      </c>
      <c r="G14" s="35"/>
      <c r="H14" s="35"/>
      <c r="I14" s="35"/>
      <c r="J14" s="35"/>
      <c r="K14" s="35"/>
    </row>
    <row r="15" spans="1:11" s="36" customFormat="1" ht="20.5">
      <c r="A15" s="29">
        <v>12</v>
      </c>
      <c r="B15" s="29">
        <v>1686</v>
      </c>
      <c r="C15" s="30">
        <v>1309904529421</v>
      </c>
      <c r="D15" s="31" t="s">
        <v>2</v>
      </c>
      <c r="E15" s="32" t="s">
        <v>156</v>
      </c>
      <c r="F15" s="33" t="s">
        <v>176</v>
      </c>
      <c r="G15" s="35"/>
      <c r="H15" s="35"/>
      <c r="I15" s="35"/>
      <c r="J15" s="35"/>
      <c r="K15" s="35"/>
    </row>
    <row r="16" spans="1:11" s="36" customFormat="1" ht="20.5">
      <c r="A16" s="29">
        <v>13</v>
      </c>
      <c r="B16" s="29">
        <v>1708</v>
      </c>
      <c r="C16" s="30">
        <v>1309500052330</v>
      </c>
      <c r="D16" s="31" t="s">
        <v>2</v>
      </c>
      <c r="E16" s="32" t="s">
        <v>226</v>
      </c>
      <c r="F16" s="33" t="s">
        <v>128</v>
      </c>
      <c r="G16" s="35"/>
      <c r="H16" s="35"/>
      <c r="I16" s="35"/>
      <c r="J16" s="35"/>
      <c r="K16" s="35"/>
    </row>
    <row r="17" spans="1:11" s="36" customFormat="1" ht="20.5">
      <c r="A17" s="29">
        <v>14</v>
      </c>
      <c r="B17" s="55">
        <v>1808</v>
      </c>
      <c r="C17" s="60">
        <v>1209601981604</v>
      </c>
      <c r="D17" s="31" t="s">
        <v>2</v>
      </c>
      <c r="E17" s="58" t="s">
        <v>317</v>
      </c>
      <c r="F17" s="59" t="s">
        <v>318</v>
      </c>
      <c r="G17" s="35"/>
      <c r="H17" s="35"/>
      <c r="I17" s="35"/>
      <c r="J17" s="35"/>
      <c r="K17" s="35"/>
    </row>
    <row r="18" spans="1:11" s="36" customFormat="1" ht="20.5">
      <c r="A18" s="29">
        <v>15</v>
      </c>
      <c r="B18" s="55">
        <v>1834</v>
      </c>
      <c r="C18" s="62">
        <v>1209301327861</v>
      </c>
      <c r="D18" s="191" t="s">
        <v>2</v>
      </c>
      <c r="E18" s="36" t="s">
        <v>333</v>
      </c>
      <c r="F18" s="36" t="s">
        <v>334</v>
      </c>
      <c r="G18" s="35"/>
      <c r="H18" s="35"/>
      <c r="I18" s="35"/>
      <c r="J18" s="35"/>
      <c r="K18" s="35"/>
    </row>
    <row r="19" spans="1:11" s="36" customFormat="1" ht="20.5">
      <c r="A19" s="29">
        <v>16</v>
      </c>
      <c r="B19" s="12">
        <v>1899</v>
      </c>
      <c r="C19" s="205" t="s">
        <v>436</v>
      </c>
      <c r="D19" s="115" t="s">
        <v>2</v>
      </c>
      <c r="E19" s="58" t="s">
        <v>434</v>
      </c>
      <c r="F19" s="59" t="s">
        <v>435</v>
      </c>
      <c r="G19" s="118" t="s">
        <v>437</v>
      </c>
      <c r="H19" s="118"/>
      <c r="I19" s="118"/>
      <c r="J19" s="118"/>
      <c r="K19" s="118"/>
    </row>
    <row r="20" spans="1:11" s="36" customFormat="1" ht="20.5">
      <c r="A20" s="29">
        <v>17</v>
      </c>
      <c r="B20" s="29">
        <v>1647</v>
      </c>
      <c r="C20" s="30">
        <v>1309500059393</v>
      </c>
      <c r="D20" s="31" t="s">
        <v>34</v>
      </c>
      <c r="E20" s="32" t="str">
        <f>'[1]อนุบาลที่ 3'!E17</f>
        <v>กัลญาพร</v>
      </c>
      <c r="F20" s="33" t="str">
        <f>'[1]อนุบาลที่ 3'!F17</f>
        <v>พงษ์โคกกรวด</v>
      </c>
      <c r="G20" s="35"/>
      <c r="H20" s="35"/>
      <c r="I20" s="35"/>
      <c r="J20" s="35"/>
      <c r="K20" s="35"/>
    </row>
    <row r="21" spans="1:11" s="36" customFormat="1" ht="20.5">
      <c r="A21" s="29">
        <v>18</v>
      </c>
      <c r="B21" s="29">
        <v>1648</v>
      </c>
      <c r="C21" s="30">
        <v>1309500056572</v>
      </c>
      <c r="D21" s="31" t="s">
        <v>34</v>
      </c>
      <c r="E21" s="32" t="s">
        <v>180</v>
      </c>
      <c r="F21" s="33" t="s">
        <v>6</v>
      </c>
      <c r="G21" s="35"/>
      <c r="H21" s="35"/>
      <c r="I21" s="35"/>
      <c r="J21" s="35"/>
      <c r="K21" s="35"/>
    </row>
    <row r="22" spans="1:11" s="36" customFormat="1" ht="20.5">
      <c r="A22" s="29">
        <v>19</v>
      </c>
      <c r="B22" s="29">
        <v>1689</v>
      </c>
      <c r="C22" s="30">
        <v>1309500046623</v>
      </c>
      <c r="D22" s="31" t="s">
        <v>34</v>
      </c>
      <c r="E22" s="32" t="str">
        <f>'[1]อนุบาลที่ 3'!E19</f>
        <v>ประภัสญาภรณ์</v>
      </c>
      <c r="F22" s="33" t="str">
        <f>'[1]อนุบาลที่ 3'!F19</f>
        <v>ศรีประภา</v>
      </c>
      <c r="G22" s="35"/>
      <c r="H22" s="35"/>
      <c r="I22" s="35"/>
      <c r="J22" s="35"/>
      <c r="K22" s="35"/>
    </row>
    <row r="23" spans="1:11" s="36" customFormat="1" ht="20.5">
      <c r="A23" s="29">
        <v>20</v>
      </c>
      <c r="B23" s="29">
        <v>1690</v>
      </c>
      <c r="C23" s="30">
        <v>1309500046631</v>
      </c>
      <c r="D23" s="31" t="s">
        <v>34</v>
      </c>
      <c r="E23" s="32" t="str">
        <f>'[1]อนุบาลที่ 3'!E20</f>
        <v>ประภัสราภรณ์</v>
      </c>
      <c r="F23" s="33" t="str">
        <f>'[1]อนุบาลที่ 3'!F20</f>
        <v>ศรีประภา</v>
      </c>
      <c r="G23" s="35"/>
      <c r="H23" s="35"/>
      <c r="I23" s="35"/>
      <c r="J23" s="35"/>
      <c r="K23" s="35"/>
    </row>
    <row r="24" spans="1:11" s="36" customFormat="1" ht="21" customHeight="1">
      <c r="A24" s="29">
        <v>21</v>
      </c>
      <c r="B24" s="29">
        <v>1692</v>
      </c>
      <c r="C24" s="30">
        <v>1309500060031</v>
      </c>
      <c r="D24" s="31" t="s">
        <v>34</v>
      </c>
      <c r="E24" s="32" t="s">
        <v>181</v>
      </c>
      <c r="F24" s="33" t="s">
        <v>182</v>
      </c>
      <c r="G24" s="35"/>
      <c r="H24" s="35"/>
      <c r="I24" s="35"/>
      <c r="J24" s="35"/>
      <c r="K24" s="35"/>
    </row>
    <row r="25" spans="1:11" s="36" customFormat="1" ht="20.5">
      <c r="A25" s="29">
        <v>22</v>
      </c>
      <c r="B25" s="29">
        <v>1706</v>
      </c>
      <c r="C25" s="30">
        <v>1309500046046</v>
      </c>
      <c r="D25" s="31" t="s">
        <v>34</v>
      </c>
      <c r="E25" s="32" t="s">
        <v>227</v>
      </c>
      <c r="F25" s="33" t="s">
        <v>228</v>
      </c>
      <c r="G25" s="35"/>
      <c r="H25" s="35"/>
      <c r="I25" s="35"/>
      <c r="J25" s="35"/>
      <c r="K25" s="35"/>
    </row>
    <row r="26" spans="1:11" s="36" customFormat="1" ht="20.5">
      <c r="A26" s="29">
        <v>23</v>
      </c>
      <c r="B26" s="29">
        <v>1759</v>
      </c>
      <c r="C26" s="30">
        <v>1629901144364</v>
      </c>
      <c r="D26" s="31" t="s">
        <v>34</v>
      </c>
      <c r="E26" s="32" t="s">
        <v>267</v>
      </c>
      <c r="F26" s="33" t="s">
        <v>268</v>
      </c>
      <c r="G26" s="35"/>
      <c r="H26" s="35"/>
      <c r="I26" s="35"/>
      <c r="J26" s="35"/>
      <c r="K26" s="35"/>
    </row>
    <row r="27" spans="1:11" s="36" customFormat="1" ht="20.5">
      <c r="A27" s="29">
        <v>24</v>
      </c>
      <c r="B27" s="29">
        <v>1760</v>
      </c>
      <c r="C27" s="30">
        <v>1459901760555</v>
      </c>
      <c r="D27" s="31" t="s">
        <v>34</v>
      </c>
      <c r="E27" s="32" t="s">
        <v>269</v>
      </c>
      <c r="F27" s="33" t="s">
        <v>270</v>
      </c>
      <c r="G27" s="35"/>
      <c r="H27" s="35"/>
      <c r="I27" s="35"/>
      <c r="J27" s="35"/>
      <c r="K27" s="35"/>
    </row>
    <row r="28" spans="1:11" ht="20.5">
      <c r="A28" s="29">
        <v>25</v>
      </c>
      <c r="B28" s="29">
        <v>1809</v>
      </c>
      <c r="C28" s="30">
        <v>1749901617971</v>
      </c>
      <c r="D28" s="87" t="s">
        <v>34</v>
      </c>
      <c r="E28" s="32" t="s">
        <v>296</v>
      </c>
      <c r="F28" s="33" t="s">
        <v>297</v>
      </c>
      <c r="G28" s="89"/>
      <c r="H28" s="89"/>
      <c r="I28" s="89"/>
      <c r="J28" s="89"/>
      <c r="K28" s="89"/>
    </row>
    <row r="29" spans="1:11" ht="20.149999999999999" customHeight="1">
      <c r="A29" s="55">
        <v>26</v>
      </c>
      <c r="B29" s="29">
        <v>1872</v>
      </c>
      <c r="C29" s="30">
        <v>1309500057781</v>
      </c>
      <c r="D29" s="87" t="s">
        <v>34</v>
      </c>
      <c r="E29" s="90" t="s">
        <v>382</v>
      </c>
      <c r="F29" s="90" t="s">
        <v>64</v>
      </c>
      <c r="G29" s="89"/>
      <c r="H29" s="89"/>
      <c r="I29" s="89"/>
      <c r="J29" s="89"/>
      <c r="K29" s="89"/>
    </row>
    <row r="30" spans="1:11" ht="20.149999999999999" customHeight="1">
      <c r="A30" s="29">
        <v>27</v>
      </c>
      <c r="B30" s="29">
        <v>1902</v>
      </c>
      <c r="C30" s="30">
        <v>1309500045414</v>
      </c>
      <c r="D30" s="115" t="s">
        <v>2</v>
      </c>
      <c r="E30" s="58" t="s">
        <v>442</v>
      </c>
      <c r="F30" s="59" t="s">
        <v>441</v>
      </c>
      <c r="G30" s="35"/>
      <c r="H30" s="35"/>
      <c r="I30" s="35"/>
      <c r="J30" s="35"/>
      <c r="K30" s="35"/>
    </row>
    <row r="31" spans="1:11" ht="20.149999999999999" customHeight="1">
      <c r="A31" s="29"/>
      <c r="B31" s="89"/>
      <c r="C31" s="89"/>
      <c r="G31" s="89"/>
      <c r="H31" s="89"/>
      <c r="I31" s="89"/>
      <c r="J31" s="89"/>
      <c r="K31" s="89"/>
    </row>
    <row r="32" spans="1:11" ht="20.149999999999999" customHeight="1">
      <c r="A32" s="55"/>
      <c r="B32" s="29"/>
      <c r="C32" s="30"/>
      <c r="D32" s="87"/>
      <c r="E32" s="32"/>
      <c r="F32" s="33"/>
      <c r="G32" s="89"/>
      <c r="H32" s="89"/>
      <c r="I32" s="89"/>
      <c r="J32" s="89"/>
      <c r="K32" s="89"/>
    </row>
    <row r="33" spans="1:11" ht="20.149999999999999" customHeight="1">
      <c r="A33" s="29"/>
      <c r="B33" s="29"/>
      <c r="C33" s="30"/>
      <c r="D33" s="31"/>
      <c r="E33" s="32"/>
      <c r="F33" s="33"/>
      <c r="G33" s="35"/>
      <c r="H33" s="35"/>
      <c r="I33" s="35"/>
      <c r="J33" s="35"/>
      <c r="K33" s="35"/>
    </row>
    <row r="34" spans="1:11" ht="20.149999999999999" customHeight="1">
      <c r="A34" s="29"/>
      <c r="B34" s="29"/>
      <c r="C34" s="30"/>
      <c r="D34" s="87"/>
      <c r="E34" s="32"/>
      <c r="F34" s="33"/>
      <c r="G34" s="89"/>
      <c r="H34" s="89"/>
      <c r="I34" s="89"/>
      <c r="J34" s="89"/>
      <c r="K34" s="89"/>
    </row>
    <row r="35" spans="1:11" ht="20.149999999999999" customHeight="1">
      <c r="A35" s="55"/>
      <c r="B35" s="29"/>
      <c r="C35" s="30"/>
      <c r="D35" s="87"/>
      <c r="E35" s="32"/>
      <c r="F35" s="33"/>
      <c r="G35" s="89"/>
      <c r="H35" s="89"/>
      <c r="I35" s="89"/>
      <c r="J35" s="89"/>
      <c r="K35" s="89"/>
    </row>
    <row r="37" spans="1:11" ht="20.5">
      <c r="A37" s="36"/>
      <c r="B37" s="36"/>
      <c r="C37" s="36"/>
    </row>
    <row r="38" spans="1:11" ht="20.5">
      <c r="A38" s="36"/>
      <c r="B38" s="36"/>
      <c r="C38" s="36"/>
    </row>
    <row r="39" spans="1:11" ht="20.5">
      <c r="D39" s="36"/>
      <c r="E39" s="36"/>
      <c r="F39" s="36"/>
      <c r="G39" s="36"/>
    </row>
    <row r="40" spans="1:11" ht="20.5">
      <c r="D40" s="230"/>
      <c r="E40" s="230"/>
      <c r="F40" s="230"/>
      <c r="G40" s="230"/>
    </row>
    <row r="41" spans="1:11" ht="20.5">
      <c r="D41" s="230"/>
      <c r="E41" s="230"/>
      <c r="F41" s="230"/>
      <c r="G41" s="230"/>
    </row>
  </sheetData>
  <mergeCells count="5">
    <mergeCell ref="A1:K1"/>
    <mergeCell ref="A2:K2"/>
    <mergeCell ref="D3:F3"/>
    <mergeCell ref="D40:G40"/>
    <mergeCell ref="D41:G41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1EDE-726F-4C18-A796-63F4FEABA887}">
  <dimension ref="A1:K37"/>
  <sheetViews>
    <sheetView zoomScale="130" zoomScaleNormal="130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1" ht="20.25" customHeight="1">
      <c r="A1" s="227" t="s">
        <v>467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1" s="36" customFormat="1" ht="21" customHeight="1">
      <c r="A2" s="228" t="s">
        <v>448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1" s="36" customFormat="1" ht="20.5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1" s="36" customFormat="1" ht="20.5">
      <c r="A4" s="29">
        <v>1</v>
      </c>
      <c r="B4" s="29">
        <v>1611</v>
      </c>
      <c r="C4" s="91">
        <v>1309500028293</v>
      </c>
      <c r="D4" s="31" t="s">
        <v>2</v>
      </c>
      <c r="E4" s="32" t="s">
        <v>187</v>
      </c>
      <c r="F4" s="33" t="s">
        <v>164</v>
      </c>
      <c r="G4" s="35"/>
      <c r="H4" s="35"/>
      <c r="I4" s="35"/>
      <c r="J4" s="35"/>
      <c r="K4" s="35"/>
    </row>
    <row r="5" spans="1:11" s="36" customFormat="1" ht="20.5">
      <c r="A5" s="29">
        <v>2</v>
      </c>
      <c r="B5" s="29">
        <v>1637</v>
      </c>
      <c r="C5" s="91">
        <v>1309500036393</v>
      </c>
      <c r="D5" s="31" t="s">
        <v>2</v>
      </c>
      <c r="E5" s="32" t="s">
        <v>183</v>
      </c>
      <c r="F5" s="33" t="s">
        <v>223</v>
      </c>
      <c r="G5" s="35"/>
      <c r="H5" s="35"/>
      <c r="I5" s="35"/>
      <c r="J5" s="35"/>
      <c r="K5" s="35"/>
    </row>
    <row r="6" spans="1:11" s="36" customFormat="1" ht="20.5">
      <c r="A6" s="29">
        <v>3</v>
      </c>
      <c r="B6" s="29">
        <v>1638</v>
      </c>
      <c r="C6" s="91">
        <v>1309500032827</v>
      </c>
      <c r="D6" s="31" t="s">
        <v>2</v>
      </c>
      <c r="E6" s="32" t="s">
        <v>184</v>
      </c>
      <c r="F6" s="33" t="s">
        <v>185</v>
      </c>
      <c r="G6" s="35"/>
      <c r="H6" s="35"/>
      <c r="I6" s="35"/>
      <c r="J6" s="35"/>
      <c r="K6" s="35"/>
    </row>
    <row r="7" spans="1:11" s="36" customFormat="1" ht="20.5">
      <c r="A7" s="29">
        <v>4</v>
      </c>
      <c r="B7" s="29">
        <v>1640</v>
      </c>
      <c r="C7" s="91">
        <v>1309500038736</v>
      </c>
      <c r="D7" s="31" t="s">
        <v>2</v>
      </c>
      <c r="E7" s="32" t="s">
        <v>186</v>
      </c>
      <c r="F7" s="33" t="s">
        <v>36</v>
      </c>
      <c r="G7" s="35"/>
      <c r="H7" s="35"/>
      <c r="I7" s="35"/>
      <c r="J7" s="35"/>
      <c r="K7" s="35"/>
    </row>
    <row r="8" spans="1:11" s="36" customFormat="1" ht="20.5">
      <c r="A8" s="29">
        <v>5</v>
      </c>
      <c r="B8" s="29">
        <v>1666</v>
      </c>
      <c r="C8" s="91">
        <v>1309500042962</v>
      </c>
      <c r="D8" s="31" t="s">
        <v>2</v>
      </c>
      <c r="E8" s="36" t="s">
        <v>188</v>
      </c>
      <c r="F8" s="59" t="s">
        <v>189</v>
      </c>
      <c r="G8" s="35"/>
      <c r="H8" s="35"/>
      <c r="I8" s="35"/>
      <c r="J8" s="35"/>
      <c r="K8" s="35"/>
    </row>
    <row r="9" spans="1:11" s="36" customFormat="1" ht="20.5">
      <c r="A9" s="29">
        <v>6</v>
      </c>
      <c r="B9" s="29">
        <v>1667</v>
      </c>
      <c r="C9" s="91">
        <v>1309500038671</v>
      </c>
      <c r="D9" s="31" t="s">
        <v>2</v>
      </c>
      <c r="E9" s="58" t="s">
        <v>190</v>
      </c>
      <c r="F9" s="59" t="s">
        <v>203</v>
      </c>
      <c r="G9" s="35"/>
      <c r="H9" s="35"/>
      <c r="I9" s="35"/>
      <c r="J9" s="35"/>
      <c r="K9" s="35"/>
    </row>
    <row r="10" spans="1:11" s="36" customFormat="1" ht="20.5">
      <c r="A10" s="29">
        <v>7</v>
      </c>
      <c r="B10" s="29">
        <v>1668</v>
      </c>
      <c r="C10" s="91">
        <v>1309500043489</v>
      </c>
      <c r="D10" s="31" t="s">
        <v>2</v>
      </c>
      <c r="E10" s="58" t="s">
        <v>191</v>
      </c>
      <c r="F10" s="59" t="s">
        <v>192</v>
      </c>
      <c r="G10" s="35"/>
      <c r="H10" s="35"/>
      <c r="I10" s="35"/>
      <c r="J10" s="35"/>
      <c r="K10" s="35"/>
    </row>
    <row r="11" spans="1:11" s="36" customFormat="1" ht="20.5">
      <c r="A11" s="29">
        <v>8</v>
      </c>
      <c r="B11" s="29">
        <v>1670</v>
      </c>
      <c r="C11" s="91">
        <v>1390500038558</v>
      </c>
      <c r="D11" s="31" t="s">
        <v>2</v>
      </c>
      <c r="E11" s="58" t="s">
        <v>193</v>
      </c>
      <c r="F11" s="59" t="s">
        <v>194</v>
      </c>
      <c r="G11" s="35"/>
      <c r="H11" s="35"/>
      <c r="I11" s="35"/>
      <c r="J11" s="35"/>
      <c r="K11" s="35"/>
    </row>
    <row r="12" spans="1:11" s="36" customFormat="1" ht="20.5">
      <c r="A12" s="29">
        <v>9</v>
      </c>
      <c r="B12" s="29">
        <v>1671</v>
      </c>
      <c r="C12" s="91">
        <v>1309500041281</v>
      </c>
      <c r="D12" s="31" t="s">
        <v>2</v>
      </c>
      <c r="E12" s="58" t="s">
        <v>195</v>
      </c>
      <c r="F12" s="59" t="s">
        <v>4</v>
      </c>
      <c r="G12" s="35"/>
      <c r="H12" s="35"/>
      <c r="I12" s="35"/>
      <c r="J12" s="35"/>
      <c r="K12" s="35"/>
    </row>
    <row r="13" spans="1:11" s="36" customFormat="1" ht="20.5">
      <c r="A13" s="29">
        <v>10</v>
      </c>
      <c r="B13" s="29">
        <v>1762</v>
      </c>
      <c r="C13" s="91">
        <v>1309500034404</v>
      </c>
      <c r="D13" s="31" t="s">
        <v>2</v>
      </c>
      <c r="E13" s="58" t="s">
        <v>86</v>
      </c>
      <c r="F13" s="59" t="s">
        <v>150</v>
      </c>
      <c r="G13" s="35"/>
      <c r="H13" s="35"/>
      <c r="I13" s="35"/>
      <c r="J13" s="35"/>
      <c r="K13" s="35"/>
    </row>
    <row r="14" spans="1:11" s="36" customFormat="1" ht="20.5">
      <c r="A14" s="29">
        <v>11</v>
      </c>
      <c r="B14" s="29">
        <v>1763</v>
      </c>
      <c r="C14" s="91">
        <v>1308400097250</v>
      </c>
      <c r="D14" s="31" t="s">
        <v>2</v>
      </c>
      <c r="E14" s="58" t="s">
        <v>153</v>
      </c>
      <c r="F14" s="59" t="s">
        <v>16</v>
      </c>
      <c r="G14" s="35"/>
      <c r="H14" s="35"/>
      <c r="I14" s="35"/>
      <c r="J14" s="35"/>
      <c r="K14" s="35"/>
    </row>
    <row r="15" spans="1:11" s="36" customFormat="1" ht="20.5">
      <c r="A15" s="29">
        <v>12</v>
      </c>
      <c r="B15" s="12">
        <v>1837</v>
      </c>
      <c r="C15" s="62">
        <v>1329200125188</v>
      </c>
      <c r="D15" s="88" t="s">
        <v>2</v>
      </c>
      <c r="E15" s="36" t="s">
        <v>224</v>
      </c>
      <c r="F15" s="36" t="s">
        <v>332</v>
      </c>
      <c r="G15" s="35"/>
      <c r="H15" s="35"/>
      <c r="I15" s="35"/>
      <c r="J15" s="35"/>
      <c r="K15" s="35"/>
    </row>
    <row r="16" spans="1:11" s="36" customFormat="1" ht="20.5">
      <c r="A16" s="29">
        <v>13</v>
      </c>
      <c r="B16" s="29">
        <v>1641</v>
      </c>
      <c r="C16" s="91">
        <v>1309904397967</v>
      </c>
      <c r="D16" s="31" t="s">
        <v>34</v>
      </c>
      <c r="E16" s="32" t="s">
        <v>196</v>
      </c>
      <c r="F16" s="33" t="s">
        <v>158</v>
      </c>
      <c r="G16" s="35"/>
      <c r="H16" s="35"/>
      <c r="I16" s="35"/>
      <c r="J16" s="35"/>
      <c r="K16" s="35"/>
    </row>
    <row r="17" spans="1:11" s="36" customFormat="1" ht="20.5">
      <c r="A17" s="29">
        <v>14</v>
      </c>
      <c r="B17" s="29">
        <v>1642</v>
      </c>
      <c r="C17" s="91">
        <v>1309500029346</v>
      </c>
      <c r="D17" s="31" t="s">
        <v>34</v>
      </c>
      <c r="E17" s="32" t="s">
        <v>197</v>
      </c>
      <c r="F17" s="33" t="s">
        <v>198</v>
      </c>
      <c r="G17" s="35"/>
      <c r="H17" s="35"/>
      <c r="I17" s="35"/>
      <c r="J17" s="35"/>
      <c r="K17" s="35"/>
    </row>
    <row r="18" spans="1:11" s="36" customFormat="1" ht="20.5">
      <c r="A18" s="29">
        <v>15</v>
      </c>
      <c r="B18" s="29">
        <v>1643</v>
      </c>
      <c r="C18" s="91">
        <v>1309500032762</v>
      </c>
      <c r="D18" s="31" t="s">
        <v>34</v>
      </c>
      <c r="E18" s="32" t="s">
        <v>179</v>
      </c>
      <c r="F18" s="33" t="s">
        <v>199</v>
      </c>
      <c r="G18" s="35"/>
      <c r="H18" s="35"/>
      <c r="I18" s="35"/>
      <c r="J18" s="35"/>
      <c r="K18" s="35"/>
    </row>
    <row r="19" spans="1:11" s="36" customFormat="1" ht="20.5">
      <c r="A19" s="29">
        <v>16</v>
      </c>
      <c r="B19" s="29">
        <v>1644</v>
      </c>
      <c r="C19" s="91">
        <v>1309500033718</v>
      </c>
      <c r="D19" s="31" t="s">
        <v>34</v>
      </c>
      <c r="E19" s="32" t="s">
        <v>200</v>
      </c>
      <c r="F19" s="33" t="s">
        <v>113</v>
      </c>
      <c r="G19" s="35"/>
      <c r="H19" s="35"/>
      <c r="I19" s="35"/>
      <c r="J19" s="35"/>
      <c r="K19" s="35"/>
    </row>
    <row r="20" spans="1:11" s="36" customFormat="1" ht="20.5">
      <c r="A20" s="29">
        <v>17</v>
      </c>
      <c r="B20" s="29">
        <v>1645</v>
      </c>
      <c r="C20" s="91">
        <v>1309500030239</v>
      </c>
      <c r="D20" s="31" t="s">
        <v>34</v>
      </c>
      <c r="E20" s="32" t="s">
        <v>201</v>
      </c>
      <c r="F20" s="33" t="s">
        <v>64</v>
      </c>
      <c r="G20" s="35"/>
      <c r="H20" s="35"/>
      <c r="I20" s="35"/>
      <c r="J20" s="35"/>
      <c r="K20" s="35"/>
    </row>
    <row r="21" spans="1:11" s="36" customFormat="1" ht="20.5">
      <c r="A21" s="29">
        <v>18</v>
      </c>
      <c r="B21" s="29">
        <v>1673</v>
      </c>
      <c r="C21" s="91">
        <v>1489300105919</v>
      </c>
      <c r="D21" s="31" t="s">
        <v>34</v>
      </c>
      <c r="E21" s="58" t="s">
        <v>202</v>
      </c>
      <c r="F21" s="59" t="s">
        <v>64</v>
      </c>
      <c r="G21" s="35"/>
      <c r="H21" s="35"/>
      <c r="I21" s="35"/>
      <c r="J21" s="35"/>
      <c r="K21" s="35"/>
    </row>
    <row r="22" spans="1:11" s="36" customFormat="1" ht="20.5">
      <c r="A22" s="29">
        <v>19</v>
      </c>
      <c r="B22" s="29">
        <v>1703</v>
      </c>
      <c r="C22" s="91">
        <v>1309500035061</v>
      </c>
      <c r="D22" s="31" t="s">
        <v>34</v>
      </c>
      <c r="E22" s="58" t="s">
        <v>225</v>
      </c>
      <c r="F22" s="59" t="s">
        <v>21</v>
      </c>
      <c r="G22" s="35"/>
      <c r="H22" s="35"/>
      <c r="I22" s="35"/>
      <c r="J22" s="35"/>
      <c r="K22" s="35"/>
    </row>
    <row r="23" spans="1:11" s="36" customFormat="1" ht="20.5">
      <c r="A23" s="29">
        <v>20</v>
      </c>
      <c r="B23" s="29">
        <v>1776</v>
      </c>
      <c r="C23" s="91">
        <v>1839400064633</v>
      </c>
      <c r="D23" s="31" t="s">
        <v>34</v>
      </c>
      <c r="E23" s="58" t="s">
        <v>277</v>
      </c>
      <c r="F23" s="59" t="s">
        <v>278</v>
      </c>
      <c r="G23" s="35"/>
      <c r="H23" s="35"/>
      <c r="I23" s="35"/>
      <c r="J23" s="35"/>
      <c r="K23" s="35"/>
    </row>
    <row r="24" spans="1:11" s="36" customFormat="1" ht="21" customHeight="1">
      <c r="A24" s="29">
        <v>21</v>
      </c>
      <c r="B24" s="29">
        <v>1820</v>
      </c>
      <c r="C24" s="30">
        <v>1839902419951</v>
      </c>
      <c r="D24" s="31" t="s">
        <v>34</v>
      </c>
      <c r="E24" s="32" t="s">
        <v>197</v>
      </c>
      <c r="F24" s="33" t="s">
        <v>298</v>
      </c>
      <c r="G24" s="35"/>
      <c r="H24" s="35"/>
      <c r="I24" s="35"/>
      <c r="J24" s="35"/>
      <c r="K24" s="35"/>
    </row>
    <row r="25" spans="1:11" s="164" customFormat="1" ht="20.5">
      <c r="A25" s="162"/>
      <c r="B25" s="163"/>
      <c r="C25" s="163"/>
      <c r="G25" s="165"/>
      <c r="H25" s="165"/>
      <c r="I25" s="165"/>
      <c r="J25" s="165"/>
      <c r="K25" s="165"/>
    </row>
    <row r="26" spans="1:11" s="36" customFormat="1" ht="20.5">
      <c r="A26" s="29"/>
      <c r="B26" s="29"/>
      <c r="C26" s="30"/>
      <c r="D26" s="87"/>
      <c r="E26" s="32"/>
      <c r="F26" s="33"/>
      <c r="G26" s="35"/>
      <c r="H26" s="35"/>
      <c r="I26" s="35"/>
      <c r="J26" s="35"/>
      <c r="K26" s="35"/>
    </row>
    <row r="27" spans="1:11" s="36" customFormat="1" ht="20.5">
      <c r="A27" s="29"/>
      <c r="B27" s="29"/>
      <c r="C27" s="30"/>
      <c r="D27" s="87"/>
      <c r="E27" s="32"/>
      <c r="F27" s="33"/>
      <c r="G27" s="35"/>
      <c r="H27" s="35"/>
      <c r="I27" s="35"/>
      <c r="J27" s="35"/>
      <c r="K27" s="35"/>
    </row>
    <row r="28" spans="1:11" s="36" customFormat="1" ht="20.5">
      <c r="A28" s="29"/>
      <c r="B28" s="29"/>
      <c r="C28" s="30"/>
      <c r="D28" s="87"/>
      <c r="E28" s="32"/>
      <c r="F28" s="33"/>
      <c r="G28" s="35"/>
      <c r="H28" s="35"/>
      <c r="I28" s="35"/>
      <c r="J28" s="35"/>
      <c r="K28" s="35"/>
    </row>
    <row r="29" spans="1:11" s="36" customFormat="1" ht="20.5">
      <c r="A29" s="29"/>
      <c r="B29" s="29"/>
      <c r="C29" s="30"/>
      <c r="D29" s="87"/>
      <c r="E29" s="32"/>
      <c r="F29" s="33"/>
      <c r="G29" s="35"/>
      <c r="H29" s="35"/>
      <c r="I29" s="35"/>
      <c r="J29" s="35"/>
      <c r="K29" s="35"/>
    </row>
    <row r="30" spans="1:11" ht="20.5">
      <c r="A30" s="29"/>
      <c r="B30" s="29"/>
      <c r="C30" s="30"/>
      <c r="D30" s="87"/>
      <c r="E30" s="32"/>
      <c r="F30" s="33"/>
      <c r="G30" s="35"/>
      <c r="H30" s="35"/>
      <c r="I30" s="35"/>
      <c r="J30" s="35"/>
      <c r="K30" s="35"/>
    </row>
    <row r="31" spans="1:11" ht="20.5">
      <c r="A31" s="29"/>
      <c r="B31" s="29"/>
      <c r="C31" s="30"/>
      <c r="D31" s="87"/>
      <c r="E31" s="32"/>
      <c r="F31" s="33"/>
      <c r="G31" s="35"/>
      <c r="H31" s="35"/>
      <c r="I31" s="35"/>
      <c r="J31" s="35"/>
      <c r="K31" s="35"/>
    </row>
    <row r="33" spans="1:7" ht="20.5">
      <c r="A33" s="36"/>
      <c r="B33" s="36"/>
      <c r="C33" s="36"/>
    </row>
    <row r="34" spans="1:7" ht="20.5">
      <c r="A34" s="36"/>
      <c r="B34" s="36"/>
      <c r="C34" s="36"/>
    </row>
    <row r="35" spans="1:7" ht="20.5">
      <c r="D35" s="36"/>
      <c r="E35" s="36"/>
      <c r="F35" s="36"/>
      <c r="G35" s="36"/>
    </row>
    <row r="36" spans="1:7" ht="20.5">
      <c r="D36" s="230"/>
      <c r="E36" s="230"/>
      <c r="F36" s="230"/>
      <c r="G36" s="230"/>
    </row>
    <row r="37" spans="1:7" ht="20.5">
      <c r="D37" s="230"/>
      <c r="E37" s="230"/>
      <c r="F37" s="230"/>
      <c r="G37" s="230"/>
    </row>
  </sheetData>
  <mergeCells count="5">
    <mergeCell ref="A1:K1"/>
    <mergeCell ref="A2:K2"/>
    <mergeCell ref="D3:F3"/>
    <mergeCell ref="D36:G36"/>
    <mergeCell ref="D37:G37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EF9A-4F52-4E8E-97BE-968FBD8A97BA}">
  <dimension ref="A1:K38"/>
  <sheetViews>
    <sheetView zoomScale="75" zoomScaleNormal="75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1" ht="20.25" customHeight="1">
      <c r="A1" s="227" t="s">
        <v>468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1" s="36" customFormat="1" ht="21" customHeight="1">
      <c r="A2" s="228" t="s">
        <v>445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1" s="36" customFormat="1" ht="20.5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1" s="36" customFormat="1" ht="20.5">
      <c r="A4" s="29">
        <v>1</v>
      </c>
      <c r="B4" s="29">
        <v>1559</v>
      </c>
      <c r="C4" s="30">
        <v>1309500014799</v>
      </c>
      <c r="D4" s="31" t="s">
        <v>2</v>
      </c>
      <c r="E4" s="32" t="s">
        <v>3</v>
      </c>
      <c r="F4" s="33" t="s">
        <v>4</v>
      </c>
      <c r="G4" s="35"/>
      <c r="H4" s="35"/>
      <c r="I4" s="35"/>
      <c r="J4" s="35"/>
      <c r="K4" s="35"/>
    </row>
    <row r="5" spans="1:11" s="36" customFormat="1" ht="20.5">
      <c r="A5" s="29">
        <v>2</v>
      </c>
      <c r="B5" s="29">
        <v>1571</v>
      </c>
      <c r="C5" s="30">
        <v>1309500016007</v>
      </c>
      <c r="D5" s="31" t="s">
        <v>2</v>
      </c>
      <c r="E5" s="32" t="s">
        <v>5</v>
      </c>
      <c r="F5" s="33" t="s">
        <v>6</v>
      </c>
      <c r="G5" s="35"/>
      <c r="H5" s="35"/>
      <c r="I5" s="35"/>
      <c r="J5" s="35"/>
      <c r="K5" s="35"/>
    </row>
    <row r="6" spans="1:11" s="36" customFormat="1" ht="20.5">
      <c r="A6" s="29">
        <v>3</v>
      </c>
      <c r="B6" s="29">
        <v>1573</v>
      </c>
      <c r="C6" s="30">
        <v>1309500017542</v>
      </c>
      <c r="D6" s="31" t="s">
        <v>2</v>
      </c>
      <c r="E6" s="32" t="s">
        <v>7</v>
      </c>
      <c r="F6" s="33" t="s">
        <v>8</v>
      </c>
      <c r="G6" s="35"/>
      <c r="H6" s="35"/>
      <c r="I6" s="35"/>
      <c r="J6" s="35"/>
      <c r="K6" s="35"/>
    </row>
    <row r="7" spans="1:11" s="36" customFormat="1" ht="20.5">
      <c r="A7" s="29">
        <v>4</v>
      </c>
      <c r="B7" s="29">
        <v>1574</v>
      </c>
      <c r="C7" s="30">
        <v>1309904266871</v>
      </c>
      <c r="D7" s="31" t="s">
        <v>2</v>
      </c>
      <c r="E7" s="32" t="s">
        <v>9</v>
      </c>
      <c r="F7" s="33" t="s">
        <v>10</v>
      </c>
      <c r="G7" s="35"/>
      <c r="H7" s="35"/>
      <c r="I7" s="35"/>
      <c r="J7" s="35"/>
      <c r="K7" s="35"/>
    </row>
    <row r="8" spans="1:11" s="36" customFormat="1" ht="20.5">
      <c r="A8" s="29">
        <v>5</v>
      </c>
      <c r="B8" s="29">
        <v>1576</v>
      </c>
      <c r="C8" s="30">
        <v>1309904297458</v>
      </c>
      <c r="D8" s="31" t="s">
        <v>2</v>
      </c>
      <c r="E8" s="32" t="s">
        <v>11</v>
      </c>
      <c r="F8" s="33" t="s">
        <v>12</v>
      </c>
      <c r="G8" s="35"/>
      <c r="H8" s="35"/>
      <c r="I8" s="35"/>
      <c r="J8" s="35"/>
      <c r="K8" s="35"/>
    </row>
    <row r="9" spans="1:11" s="36" customFormat="1" ht="20.5">
      <c r="A9" s="29">
        <v>6</v>
      </c>
      <c r="B9" s="29">
        <v>1605</v>
      </c>
      <c r="C9" s="30">
        <v>1309904259998</v>
      </c>
      <c r="D9" s="31" t="s">
        <v>2</v>
      </c>
      <c r="E9" s="32" t="s">
        <v>15</v>
      </c>
      <c r="F9" s="33" t="s">
        <v>16</v>
      </c>
      <c r="G9" s="35"/>
      <c r="H9" s="35"/>
      <c r="I9" s="35"/>
      <c r="J9" s="35"/>
      <c r="K9" s="35"/>
    </row>
    <row r="10" spans="1:11" s="36" customFormat="1" ht="20.5">
      <c r="A10" s="29">
        <v>7</v>
      </c>
      <c r="B10" s="29">
        <v>1606</v>
      </c>
      <c r="C10" s="30">
        <v>1309904260007</v>
      </c>
      <c r="D10" s="31" t="s">
        <v>2</v>
      </c>
      <c r="E10" s="32" t="s">
        <v>17</v>
      </c>
      <c r="F10" s="33" t="s">
        <v>16</v>
      </c>
      <c r="G10" s="35"/>
      <c r="H10" s="35"/>
      <c r="I10" s="35"/>
      <c r="J10" s="35"/>
      <c r="K10" s="35"/>
    </row>
    <row r="11" spans="1:11" s="36" customFormat="1" ht="20.5">
      <c r="A11" s="29">
        <v>8</v>
      </c>
      <c r="B11" s="29">
        <v>1607</v>
      </c>
      <c r="C11" s="30">
        <v>1309500019979</v>
      </c>
      <c r="D11" s="31" t="s">
        <v>2</v>
      </c>
      <c r="E11" s="32" t="s">
        <v>18</v>
      </c>
      <c r="F11" s="33" t="s">
        <v>19</v>
      </c>
      <c r="G11" s="35"/>
      <c r="H11" s="35"/>
      <c r="I11" s="35"/>
      <c r="J11" s="35"/>
      <c r="K11" s="35"/>
    </row>
    <row r="12" spans="1:11" s="36" customFormat="1" ht="20.5">
      <c r="A12" s="29">
        <v>9</v>
      </c>
      <c r="B12" s="29">
        <v>1608</v>
      </c>
      <c r="C12" s="30">
        <v>1309500022741</v>
      </c>
      <c r="D12" s="31" t="s">
        <v>2</v>
      </c>
      <c r="E12" s="32" t="s">
        <v>20</v>
      </c>
      <c r="F12" s="33" t="s">
        <v>21</v>
      </c>
      <c r="G12" s="35"/>
      <c r="H12" s="35"/>
      <c r="I12" s="35"/>
      <c r="J12" s="35"/>
      <c r="K12" s="35"/>
    </row>
    <row r="13" spans="1:11" s="36" customFormat="1" ht="20.5">
      <c r="A13" s="29">
        <v>10</v>
      </c>
      <c r="B13" s="93">
        <v>1609</v>
      </c>
      <c r="C13" s="30">
        <v>1309500023721</v>
      </c>
      <c r="D13" s="31" t="s">
        <v>2</v>
      </c>
      <c r="E13" s="32" t="s">
        <v>22</v>
      </c>
      <c r="F13" s="33" t="s">
        <v>23</v>
      </c>
      <c r="G13" s="35"/>
      <c r="H13" s="35"/>
      <c r="I13" s="35"/>
      <c r="J13" s="35"/>
      <c r="K13" s="35"/>
    </row>
    <row r="14" spans="1:11" s="36" customFormat="1" ht="20.5">
      <c r="A14" s="29">
        <v>11</v>
      </c>
      <c r="B14" s="93">
        <v>1610</v>
      </c>
      <c r="C14" s="30">
        <v>1300101316599</v>
      </c>
      <c r="D14" s="31" t="s">
        <v>2</v>
      </c>
      <c r="E14" s="32" t="s">
        <v>24</v>
      </c>
      <c r="F14" s="33" t="s">
        <v>25</v>
      </c>
      <c r="G14" s="35"/>
      <c r="H14" s="35"/>
      <c r="I14" s="35"/>
      <c r="J14" s="35"/>
      <c r="K14" s="35"/>
    </row>
    <row r="15" spans="1:11" s="36" customFormat="1" ht="20.5">
      <c r="A15" s="29">
        <v>12</v>
      </c>
      <c r="B15" s="93">
        <v>1612</v>
      </c>
      <c r="C15" s="30">
        <v>1309500021779</v>
      </c>
      <c r="D15" s="31" t="s">
        <v>2</v>
      </c>
      <c r="E15" s="32" t="s">
        <v>26</v>
      </c>
      <c r="F15" s="33" t="s">
        <v>27</v>
      </c>
      <c r="G15" s="35"/>
      <c r="H15" s="35"/>
      <c r="I15" s="35"/>
      <c r="J15" s="35"/>
      <c r="K15" s="35"/>
    </row>
    <row r="16" spans="1:11" s="36" customFormat="1" ht="20.5">
      <c r="A16" s="29">
        <v>13</v>
      </c>
      <c r="B16" s="29">
        <v>1613</v>
      </c>
      <c r="C16" s="30">
        <v>1300101316548</v>
      </c>
      <c r="D16" s="31" t="s">
        <v>2</v>
      </c>
      <c r="E16" s="32" t="s">
        <v>28</v>
      </c>
      <c r="F16" s="33" t="s">
        <v>29</v>
      </c>
      <c r="G16" s="35"/>
      <c r="H16" s="35"/>
      <c r="I16" s="35"/>
      <c r="J16" s="35"/>
      <c r="K16" s="35"/>
    </row>
    <row r="17" spans="1:11" s="36" customFormat="1" ht="20.5">
      <c r="A17" s="29">
        <v>14</v>
      </c>
      <c r="B17" s="29">
        <v>1615</v>
      </c>
      <c r="C17" s="30">
        <v>1309500026771</v>
      </c>
      <c r="D17" s="31" t="s">
        <v>2</v>
      </c>
      <c r="E17" s="32" t="s">
        <v>30</v>
      </c>
      <c r="F17" s="33" t="s">
        <v>31</v>
      </c>
      <c r="G17" s="35"/>
      <c r="H17" s="35"/>
      <c r="I17" s="35"/>
      <c r="J17" s="35"/>
      <c r="K17" s="35"/>
    </row>
    <row r="18" spans="1:11" s="36" customFormat="1" ht="20.5">
      <c r="A18" s="29">
        <v>15</v>
      </c>
      <c r="B18" s="29">
        <v>1616</v>
      </c>
      <c r="C18" s="30">
        <v>1309500024255</v>
      </c>
      <c r="D18" s="88" t="s">
        <v>2</v>
      </c>
      <c r="E18" s="32" t="s">
        <v>32</v>
      </c>
      <c r="F18" s="33" t="s">
        <v>33</v>
      </c>
      <c r="G18" s="35"/>
      <c r="H18" s="35"/>
      <c r="I18" s="35"/>
      <c r="J18" s="35"/>
      <c r="K18" s="35"/>
    </row>
    <row r="19" spans="1:11" s="36" customFormat="1" ht="20.5">
      <c r="A19" s="29">
        <v>16</v>
      </c>
      <c r="B19" s="29">
        <v>1764</v>
      </c>
      <c r="C19" s="30">
        <v>1309500018492</v>
      </c>
      <c r="D19" s="31" t="s">
        <v>2</v>
      </c>
      <c r="E19" s="32" t="s">
        <v>13</v>
      </c>
      <c r="F19" s="33" t="s">
        <v>14</v>
      </c>
      <c r="G19" s="35"/>
      <c r="H19" s="35"/>
      <c r="I19" s="35"/>
      <c r="J19" s="35"/>
      <c r="K19" s="35"/>
    </row>
    <row r="20" spans="1:11" s="36" customFormat="1" ht="20.5">
      <c r="A20" s="29">
        <v>17</v>
      </c>
      <c r="B20" s="12">
        <v>1856</v>
      </c>
      <c r="C20" s="62">
        <v>1309500014829</v>
      </c>
      <c r="D20" s="88" t="s">
        <v>2</v>
      </c>
      <c r="E20" s="36" t="s">
        <v>371</v>
      </c>
      <c r="F20" s="36" t="s">
        <v>372</v>
      </c>
      <c r="G20" s="35"/>
      <c r="H20" s="35"/>
      <c r="I20" s="35"/>
      <c r="J20" s="35"/>
      <c r="K20" s="35"/>
    </row>
    <row r="21" spans="1:11" s="36" customFormat="1" ht="20.5">
      <c r="A21" s="29">
        <v>18</v>
      </c>
      <c r="B21" s="29">
        <v>1578</v>
      </c>
      <c r="C21" s="30">
        <v>1339600324404</v>
      </c>
      <c r="D21" s="31" t="s">
        <v>34</v>
      </c>
      <c r="E21" s="32" t="s">
        <v>35</v>
      </c>
      <c r="F21" s="33" t="s">
        <v>25</v>
      </c>
      <c r="G21" s="35"/>
      <c r="H21" s="35"/>
      <c r="I21" s="35"/>
      <c r="J21" s="35"/>
      <c r="K21" s="35"/>
    </row>
    <row r="22" spans="1:11" s="36" customFormat="1" ht="21" customHeight="1">
      <c r="A22" s="29">
        <v>19</v>
      </c>
      <c r="B22" s="29">
        <v>1580</v>
      </c>
      <c r="C22" s="30">
        <v>1309500017119</v>
      </c>
      <c r="D22" s="31" t="s">
        <v>34</v>
      </c>
      <c r="E22" s="32" t="s">
        <v>37</v>
      </c>
      <c r="F22" s="33" t="s">
        <v>38</v>
      </c>
      <c r="G22" s="35"/>
      <c r="H22" s="35"/>
      <c r="I22" s="35"/>
      <c r="J22" s="35"/>
      <c r="K22" s="35"/>
    </row>
    <row r="23" spans="1:11" s="36" customFormat="1" ht="20.5">
      <c r="A23" s="29">
        <v>20</v>
      </c>
      <c r="B23" s="29">
        <v>1618</v>
      </c>
      <c r="C23" s="30">
        <v>1309500017305</v>
      </c>
      <c r="D23" s="31" t="s">
        <v>34</v>
      </c>
      <c r="E23" s="32" t="s">
        <v>39</v>
      </c>
      <c r="F23" s="33" t="s">
        <v>64</v>
      </c>
      <c r="G23" s="35"/>
      <c r="H23" s="35"/>
      <c r="I23" s="35"/>
      <c r="J23" s="35"/>
      <c r="K23" s="35"/>
    </row>
    <row r="24" spans="1:11" s="36" customFormat="1" ht="20.5">
      <c r="A24" s="29">
        <v>21</v>
      </c>
      <c r="B24" s="12">
        <v>1829</v>
      </c>
      <c r="C24" s="62">
        <v>1309500026614</v>
      </c>
      <c r="D24" s="88" t="s">
        <v>34</v>
      </c>
      <c r="E24" s="94" t="s">
        <v>330</v>
      </c>
      <c r="F24" s="94" t="s">
        <v>19</v>
      </c>
      <c r="G24" s="35"/>
      <c r="H24" s="35"/>
      <c r="I24" s="35"/>
      <c r="J24" s="35"/>
      <c r="K24" s="35"/>
    </row>
    <row r="25" spans="1:11" s="36" customFormat="1" ht="20.5">
      <c r="A25" s="29">
        <v>22</v>
      </c>
      <c r="B25" s="29">
        <v>1857</v>
      </c>
      <c r="C25" s="12" t="s">
        <v>339</v>
      </c>
      <c r="D25" s="88" t="s">
        <v>34</v>
      </c>
      <c r="E25" s="58" t="s">
        <v>340</v>
      </c>
      <c r="F25" s="59" t="s">
        <v>341</v>
      </c>
      <c r="G25" s="35"/>
      <c r="H25" s="35"/>
      <c r="I25" s="35"/>
      <c r="J25" s="35"/>
      <c r="K25" s="35"/>
    </row>
    <row r="26" spans="1:11" s="36" customFormat="1" ht="20.5">
      <c r="A26" s="29"/>
      <c r="B26" s="29"/>
      <c r="C26" s="12"/>
      <c r="D26" s="88"/>
      <c r="E26" s="58"/>
      <c r="F26" s="59"/>
      <c r="G26" s="35"/>
      <c r="H26" s="35"/>
      <c r="I26" s="35"/>
      <c r="J26" s="35"/>
      <c r="K26" s="35"/>
    </row>
    <row r="27" spans="1:11" s="36" customFormat="1" ht="20.5">
      <c r="A27" s="95"/>
      <c r="B27" s="96"/>
      <c r="C27" s="97"/>
      <c r="D27" s="98"/>
      <c r="E27" s="99"/>
      <c r="F27" s="100"/>
      <c r="G27" s="35"/>
      <c r="H27" s="35"/>
      <c r="I27" s="35"/>
      <c r="J27" s="35"/>
      <c r="K27" s="35"/>
    </row>
    <row r="28" spans="1:11" ht="20.5">
      <c r="A28" s="29"/>
      <c r="B28" s="29"/>
      <c r="C28" s="30"/>
      <c r="D28" s="87"/>
      <c r="E28" s="32"/>
      <c r="F28" s="33"/>
      <c r="G28" s="35"/>
      <c r="H28" s="35"/>
      <c r="I28" s="35"/>
      <c r="J28" s="35"/>
      <c r="K28" s="35"/>
    </row>
    <row r="29" spans="1:11" ht="20.5">
      <c r="A29" s="29"/>
      <c r="B29" s="29"/>
      <c r="C29" s="30"/>
      <c r="D29" s="31"/>
      <c r="E29" s="32"/>
      <c r="F29" s="33"/>
      <c r="G29" s="35"/>
      <c r="H29" s="35"/>
      <c r="I29" s="35"/>
      <c r="J29" s="35"/>
      <c r="K29" s="35"/>
    </row>
    <row r="30" spans="1:11" ht="20.5">
      <c r="A30" s="29"/>
      <c r="B30" s="29"/>
      <c r="C30" s="30"/>
      <c r="D30" s="31"/>
      <c r="E30" s="32"/>
      <c r="F30" s="33"/>
      <c r="G30" s="35"/>
      <c r="H30" s="35"/>
      <c r="I30" s="35"/>
      <c r="J30" s="35"/>
      <c r="K30" s="35"/>
    </row>
    <row r="31" spans="1:11" ht="20.5">
      <c r="A31" s="29"/>
      <c r="B31" s="29"/>
      <c r="C31" s="30"/>
      <c r="D31" s="87"/>
      <c r="E31" s="32"/>
      <c r="F31" s="33"/>
      <c r="G31" s="35"/>
      <c r="H31" s="35"/>
      <c r="I31" s="35"/>
      <c r="J31" s="35"/>
      <c r="K31" s="35"/>
    </row>
    <row r="32" spans="1:11" ht="20.5">
      <c r="A32" s="29"/>
      <c r="B32" s="29"/>
      <c r="C32" s="30"/>
      <c r="D32" s="87"/>
      <c r="E32" s="32"/>
      <c r="F32" s="33"/>
      <c r="G32" s="35"/>
      <c r="H32" s="35"/>
      <c r="I32" s="35"/>
      <c r="J32" s="35"/>
      <c r="K32" s="35"/>
    </row>
    <row r="34" spans="1:7" ht="20.5">
      <c r="A34" s="36"/>
      <c r="B34" s="36"/>
      <c r="C34" s="36"/>
    </row>
    <row r="35" spans="1:7" ht="20.5">
      <c r="A35" s="36"/>
      <c r="B35" s="36"/>
      <c r="C35" s="36"/>
    </row>
    <row r="36" spans="1:7" ht="20.5">
      <c r="D36" s="36"/>
      <c r="E36" s="36"/>
      <c r="F36" s="36"/>
      <c r="G36" s="36"/>
    </row>
    <row r="37" spans="1:7" ht="20.5">
      <c r="D37" s="230"/>
      <c r="E37" s="230"/>
      <c r="F37" s="230"/>
      <c r="G37" s="230"/>
    </row>
    <row r="38" spans="1:7" ht="20.5">
      <c r="D38" s="230"/>
      <c r="E38" s="230"/>
      <c r="F38" s="230"/>
      <c r="G38" s="230"/>
    </row>
  </sheetData>
  <mergeCells count="5">
    <mergeCell ref="A1:K1"/>
    <mergeCell ref="A2:K2"/>
    <mergeCell ref="D3:F3"/>
    <mergeCell ref="D37:G37"/>
    <mergeCell ref="D38:G38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B37D-5B01-4311-9CC2-69162D293F8D}">
  <dimension ref="A1:P37"/>
  <sheetViews>
    <sheetView zoomScale="87" zoomScaleNormal="87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6" ht="20.25" customHeight="1">
      <c r="A1" s="227" t="s">
        <v>469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6" s="36" customFormat="1" ht="21" customHeight="1">
      <c r="A2" s="228" t="s">
        <v>388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6" s="36" customFormat="1" ht="21" customHeight="1">
      <c r="A3" s="101" t="s">
        <v>159</v>
      </c>
      <c r="B3" s="101" t="s">
        <v>1</v>
      </c>
      <c r="C3" s="101" t="s">
        <v>0</v>
      </c>
      <c r="D3" s="231" t="s">
        <v>160</v>
      </c>
      <c r="E3" s="231"/>
      <c r="F3" s="231"/>
      <c r="G3" s="70"/>
      <c r="H3" s="70"/>
      <c r="I3" s="70"/>
      <c r="J3" s="70"/>
      <c r="K3" s="70"/>
    </row>
    <row r="4" spans="1:16" s="36" customFormat="1" ht="21" customHeight="1">
      <c r="A4" s="102">
        <v>1</v>
      </c>
      <c r="B4" s="11">
        <v>1516</v>
      </c>
      <c r="C4" s="25">
        <v>1168300182699</v>
      </c>
      <c r="D4" s="14" t="s">
        <v>2</v>
      </c>
      <c r="E4" s="26" t="s">
        <v>204</v>
      </c>
      <c r="F4" s="27" t="s">
        <v>74</v>
      </c>
      <c r="G4" s="17"/>
      <c r="H4" s="17"/>
      <c r="I4" s="17"/>
      <c r="J4" s="17"/>
      <c r="K4" s="17"/>
    </row>
    <row r="5" spans="1:16" s="36" customFormat="1" ht="21" customHeight="1">
      <c r="A5" s="102">
        <v>2</v>
      </c>
      <c r="B5" s="11">
        <v>1537</v>
      </c>
      <c r="C5" s="25">
        <v>1309500010572</v>
      </c>
      <c r="D5" s="14" t="s">
        <v>2</v>
      </c>
      <c r="E5" s="26" t="s">
        <v>40</v>
      </c>
      <c r="F5" s="27" t="s">
        <v>41</v>
      </c>
      <c r="G5" s="17"/>
      <c r="H5" s="17"/>
      <c r="I5" s="17"/>
      <c r="J5" s="17"/>
      <c r="K5" s="17"/>
    </row>
    <row r="6" spans="1:16" s="36" customFormat="1" ht="21" customHeight="1">
      <c r="A6" s="11">
        <v>3</v>
      </c>
      <c r="B6" s="11">
        <v>1555</v>
      </c>
      <c r="C6" s="25">
        <v>1309500007563</v>
      </c>
      <c r="D6" s="14" t="s">
        <v>2</v>
      </c>
      <c r="E6" s="26" t="s">
        <v>42</v>
      </c>
      <c r="F6" s="27" t="s">
        <v>43</v>
      </c>
      <c r="G6" s="17"/>
      <c r="H6" s="17"/>
      <c r="I6" s="17"/>
      <c r="J6" s="17"/>
      <c r="K6" s="17"/>
    </row>
    <row r="7" spans="1:16" s="36" customFormat="1" ht="21" customHeight="1">
      <c r="A7" s="11">
        <v>4</v>
      </c>
      <c r="B7" s="11">
        <v>1556</v>
      </c>
      <c r="C7" s="25">
        <v>1300101315363</v>
      </c>
      <c r="D7" s="14" t="s">
        <v>2</v>
      </c>
      <c r="E7" s="26" t="s">
        <v>44</v>
      </c>
      <c r="F7" s="27" t="s">
        <v>45</v>
      </c>
      <c r="G7" s="17"/>
      <c r="H7" s="17"/>
      <c r="I7" s="17"/>
      <c r="J7" s="17"/>
      <c r="K7" s="17"/>
    </row>
    <row r="8" spans="1:16" s="36" customFormat="1" ht="21" customHeight="1">
      <c r="A8" s="11">
        <v>5</v>
      </c>
      <c r="B8" s="11">
        <v>1557</v>
      </c>
      <c r="C8" s="25">
        <v>1309500011731</v>
      </c>
      <c r="D8" s="14" t="s">
        <v>2</v>
      </c>
      <c r="E8" s="26" t="s">
        <v>48</v>
      </c>
      <c r="F8" s="27" t="s">
        <v>49</v>
      </c>
      <c r="G8" s="17"/>
      <c r="H8" s="17"/>
      <c r="I8" s="17"/>
      <c r="J8" s="17"/>
      <c r="K8" s="17"/>
    </row>
    <row r="9" spans="1:16" s="36" customFormat="1" ht="21" customHeight="1">
      <c r="A9" s="11">
        <v>6</v>
      </c>
      <c r="B9" s="11">
        <v>1558</v>
      </c>
      <c r="C9" s="25">
        <v>1309500012486</v>
      </c>
      <c r="D9" s="14" t="s">
        <v>2</v>
      </c>
      <c r="E9" s="26" t="s">
        <v>46</v>
      </c>
      <c r="F9" s="27" t="s">
        <v>47</v>
      </c>
      <c r="G9" s="17"/>
      <c r="H9" s="17"/>
      <c r="I9" s="17"/>
      <c r="J9" s="17"/>
      <c r="K9" s="17"/>
    </row>
    <row r="10" spans="1:16" s="36" customFormat="1" ht="21" customHeight="1">
      <c r="A10" s="11">
        <v>7</v>
      </c>
      <c r="B10" s="11">
        <v>1593</v>
      </c>
      <c r="C10" s="25">
        <v>1309500003193</v>
      </c>
      <c r="D10" s="14" t="s">
        <v>2</v>
      </c>
      <c r="E10" s="26" t="s">
        <v>50</v>
      </c>
      <c r="F10" s="27" t="s">
        <v>51</v>
      </c>
      <c r="G10" s="17"/>
      <c r="H10" s="17"/>
      <c r="I10" s="17"/>
      <c r="J10" s="17"/>
      <c r="K10" s="17"/>
    </row>
    <row r="11" spans="1:16" s="36" customFormat="1" ht="21" customHeight="1">
      <c r="A11" s="11">
        <v>8</v>
      </c>
      <c r="B11" s="11">
        <v>1624</v>
      </c>
      <c r="C11" s="25">
        <v>1309500009591</v>
      </c>
      <c r="D11" s="14" t="s">
        <v>2</v>
      </c>
      <c r="E11" s="26" t="s">
        <v>13</v>
      </c>
      <c r="F11" s="27" t="s">
        <v>163</v>
      </c>
      <c r="G11" s="17"/>
      <c r="H11" s="17"/>
      <c r="I11" s="17"/>
      <c r="J11" s="17"/>
      <c r="K11" s="17"/>
    </row>
    <row r="12" spans="1:16" s="36" customFormat="1" ht="21" customHeight="1">
      <c r="A12" s="11">
        <v>9</v>
      </c>
      <c r="B12" s="24">
        <v>1873</v>
      </c>
      <c r="C12" s="73">
        <v>1309500004521</v>
      </c>
      <c r="D12" s="18" t="s">
        <v>2</v>
      </c>
      <c r="E12" s="23" t="s">
        <v>383</v>
      </c>
      <c r="F12" s="23" t="s">
        <v>16</v>
      </c>
      <c r="G12" s="17"/>
      <c r="H12" s="17"/>
      <c r="I12" s="17"/>
      <c r="J12" s="17"/>
      <c r="K12" s="17"/>
    </row>
    <row r="13" spans="1:16" s="36" customFormat="1" ht="21" customHeight="1">
      <c r="A13" s="11">
        <v>10</v>
      </c>
      <c r="B13" s="71">
        <v>1875</v>
      </c>
      <c r="C13" s="13">
        <v>1309500005986</v>
      </c>
      <c r="D13" s="18" t="s">
        <v>2</v>
      </c>
      <c r="E13" s="15" t="s">
        <v>389</v>
      </c>
      <c r="F13" s="16" t="s">
        <v>390</v>
      </c>
      <c r="G13" s="17"/>
      <c r="H13" s="17"/>
      <c r="I13" s="17"/>
      <c r="J13" s="17"/>
      <c r="K13" s="17"/>
    </row>
    <row r="14" spans="1:16" s="36" customFormat="1" ht="21" customHeight="1">
      <c r="A14" s="11">
        <v>11</v>
      </c>
      <c r="B14" s="11">
        <v>1540</v>
      </c>
      <c r="C14" s="25">
        <v>1309500009183</v>
      </c>
      <c r="D14" s="14" t="s">
        <v>34</v>
      </c>
      <c r="E14" s="26" t="s">
        <v>52</v>
      </c>
      <c r="F14" s="27" t="s">
        <v>19</v>
      </c>
      <c r="G14" s="17"/>
      <c r="H14" s="17"/>
      <c r="I14" s="17"/>
      <c r="J14" s="17"/>
      <c r="K14" s="17"/>
    </row>
    <row r="15" spans="1:16" s="36" customFormat="1" ht="21" customHeight="1">
      <c r="A15" s="11">
        <v>12</v>
      </c>
      <c r="B15" s="11">
        <v>1561</v>
      </c>
      <c r="C15" s="25">
        <v>1309500008748</v>
      </c>
      <c r="D15" s="14" t="s">
        <v>34</v>
      </c>
      <c r="E15" s="26" t="s">
        <v>54</v>
      </c>
      <c r="F15" s="27" t="s">
        <v>55</v>
      </c>
      <c r="G15" s="17"/>
      <c r="H15" s="17"/>
      <c r="I15" s="17"/>
      <c r="J15" s="17"/>
      <c r="K15" s="17"/>
      <c r="P15" s="103"/>
    </row>
    <row r="16" spans="1:16" s="36" customFormat="1" ht="21" customHeight="1">
      <c r="A16" s="11">
        <v>13</v>
      </c>
      <c r="B16" s="11">
        <v>1562</v>
      </c>
      <c r="C16" s="25">
        <v>1300101314651</v>
      </c>
      <c r="D16" s="14" t="s">
        <v>34</v>
      </c>
      <c r="E16" s="26" t="s">
        <v>53</v>
      </c>
      <c r="F16" s="27" t="s">
        <v>25</v>
      </c>
      <c r="G16" s="17"/>
      <c r="H16" s="17"/>
      <c r="I16" s="17"/>
      <c r="J16" s="17"/>
      <c r="K16" s="17"/>
    </row>
    <row r="17" spans="1:11" s="36" customFormat="1" ht="21" customHeight="1">
      <c r="A17" s="11">
        <v>14</v>
      </c>
      <c r="B17" s="11">
        <v>1565</v>
      </c>
      <c r="C17" s="25">
        <v>1309500006125</v>
      </c>
      <c r="D17" s="14" t="s">
        <v>34</v>
      </c>
      <c r="E17" s="26" t="s">
        <v>57</v>
      </c>
      <c r="F17" s="27" t="s">
        <v>58</v>
      </c>
      <c r="G17" s="17"/>
      <c r="H17" s="17"/>
      <c r="I17" s="17"/>
      <c r="J17" s="17"/>
      <c r="K17" s="17"/>
    </row>
    <row r="18" spans="1:11" s="36" customFormat="1" ht="21" customHeight="1">
      <c r="A18" s="11">
        <v>15</v>
      </c>
      <c r="B18" s="11">
        <v>1568</v>
      </c>
      <c r="C18" s="25">
        <v>1309500010394</v>
      </c>
      <c r="D18" s="14" t="s">
        <v>34</v>
      </c>
      <c r="E18" s="26" t="s">
        <v>63</v>
      </c>
      <c r="F18" s="27" t="s">
        <v>64</v>
      </c>
      <c r="G18" s="17"/>
      <c r="H18" s="17"/>
      <c r="I18" s="17"/>
      <c r="J18" s="17"/>
      <c r="K18" s="17"/>
    </row>
    <row r="19" spans="1:11" s="36" customFormat="1" ht="21" customHeight="1">
      <c r="A19" s="11">
        <v>16</v>
      </c>
      <c r="B19" s="11">
        <v>1569</v>
      </c>
      <c r="C19" s="25">
        <v>1309500011170</v>
      </c>
      <c r="D19" s="14" t="s">
        <v>34</v>
      </c>
      <c r="E19" s="26" t="s">
        <v>65</v>
      </c>
      <c r="F19" s="27" t="s">
        <v>66</v>
      </c>
      <c r="G19" s="17"/>
      <c r="H19" s="17"/>
      <c r="I19" s="17"/>
      <c r="J19" s="17"/>
      <c r="K19" s="17"/>
    </row>
    <row r="20" spans="1:11" s="36" customFormat="1" ht="21" customHeight="1">
      <c r="A20" s="11">
        <v>17</v>
      </c>
      <c r="B20" s="11">
        <v>1570</v>
      </c>
      <c r="C20" s="25">
        <v>1309500009566</v>
      </c>
      <c r="D20" s="14" t="s">
        <v>34</v>
      </c>
      <c r="E20" s="26" t="s">
        <v>61</v>
      </c>
      <c r="F20" s="27" t="s">
        <v>62</v>
      </c>
      <c r="G20" s="17"/>
      <c r="H20" s="17"/>
      <c r="I20" s="17"/>
      <c r="J20" s="17"/>
      <c r="K20" s="17"/>
    </row>
    <row r="21" spans="1:11" s="36" customFormat="1" ht="21" customHeight="1">
      <c r="A21" s="11">
        <v>18</v>
      </c>
      <c r="B21" s="11">
        <v>1652</v>
      </c>
      <c r="C21" s="25">
        <v>1129701624171</v>
      </c>
      <c r="D21" s="14" t="s">
        <v>34</v>
      </c>
      <c r="E21" s="26" t="s">
        <v>205</v>
      </c>
      <c r="F21" s="27" t="s">
        <v>206</v>
      </c>
      <c r="G21" s="17"/>
      <c r="H21" s="17"/>
      <c r="I21" s="17"/>
      <c r="J21" s="17"/>
      <c r="K21" s="17"/>
    </row>
    <row r="22" spans="1:11" s="36" customFormat="1" ht="21" customHeight="1">
      <c r="A22" s="11">
        <v>19</v>
      </c>
      <c r="B22" s="11">
        <v>1765</v>
      </c>
      <c r="C22" s="104">
        <v>1309500005188</v>
      </c>
      <c r="D22" s="18" t="s">
        <v>34</v>
      </c>
      <c r="E22" s="26" t="s">
        <v>56</v>
      </c>
      <c r="F22" s="27" t="s">
        <v>14</v>
      </c>
      <c r="G22" s="17"/>
      <c r="H22" s="17"/>
      <c r="I22" s="17"/>
      <c r="J22" s="17"/>
      <c r="K22" s="17"/>
    </row>
    <row r="23" spans="1:11" s="36" customFormat="1" ht="19.5" customHeight="1">
      <c r="A23" s="11">
        <v>20</v>
      </c>
      <c r="B23" s="71">
        <v>1858</v>
      </c>
      <c r="C23" s="13">
        <v>1309500006966</v>
      </c>
      <c r="D23" s="18" t="s">
        <v>34</v>
      </c>
      <c r="E23" s="15" t="s">
        <v>342</v>
      </c>
      <c r="F23" s="16" t="s">
        <v>289</v>
      </c>
      <c r="G23" s="17"/>
      <c r="H23" s="17"/>
      <c r="I23" s="17"/>
      <c r="J23" s="17"/>
      <c r="K23" s="17"/>
    </row>
    <row r="24" spans="1:11" s="36" customFormat="1" ht="19.5" customHeight="1">
      <c r="A24" s="11">
        <v>21</v>
      </c>
      <c r="B24" s="71">
        <v>1859</v>
      </c>
      <c r="C24" s="142">
        <v>1190201165179</v>
      </c>
      <c r="D24" s="18" t="s">
        <v>34</v>
      </c>
      <c r="E24" s="15" t="s">
        <v>361</v>
      </c>
      <c r="F24" s="16" t="s">
        <v>360</v>
      </c>
      <c r="G24" s="17"/>
      <c r="H24" s="17"/>
      <c r="I24" s="17"/>
      <c r="J24" s="17"/>
      <c r="K24" s="17"/>
    </row>
    <row r="25" spans="1:11" s="36" customFormat="1" ht="19.5" customHeight="1">
      <c r="A25" s="11"/>
      <c r="B25" s="114"/>
      <c r="C25" s="114"/>
      <c r="G25" s="35"/>
      <c r="H25" s="35"/>
      <c r="I25" s="35"/>
      <c r="J25" s="35"/>
      <c r="K25" s="35"/>
    </row>
    <row r="26" spans="1:11" s="36" customFormat="1" ht="19.5" customHeight="1">
      <c r="A26" s="29"/>
      <c r="B26" s="29"/>
      <c r="C26" s="106"/>
      <c r="D26" s="31"/>
      <c r="E26" s="32"/>
      <c r="F26" s="33"/>
      <c r="G26" s="35"/>
      <c r="H26" s="35"/>
      <c r="I26" s="35"/>
      <c r="J26" s="35"/>
      <c r="K26" s="35"/>
    </row>
    <row r="27" spans="1:11" s="36" customFormat="1" ht="19.5" customHeight="1">
      <c r="A27" s="29"/>
      <c r="B27" s="29"/>
      <c r="C27" s="30"/>
      <c r="D27" s="31"/>
      <c r="E27" s="32"/>
      <c r="F27" s="33"/>
      <c r="G27" s="35"/>
      <c r="H27" s="35"/>
      <c r="I27" s="35"/>
      <c r="J27" s="35"/>
      <c r="K27" s="35"/>
    </row>
    <row r="28" spans="1:11" s="36" customFormat="1" ht="19.5" customHeight="1">
      <c r="A28" s="29"/>
      <c r="B28" s="29"/>
      <c r="C28" s="30"/>
      <c r="D28" s="31"/>
      <c r="E28" s="32"/>
      <c r="F28" s="33"/>
      <c r="G28" s="35"/>
      <c r="H28" s="35"/>
      <c r="I28" s="35"/>
      <c r="J28" s="35"/>
      <c r="K28" s="35"/>
    </row>
    <row r="29" spans="1:11" s="36" customFormat="1" ht="19.5" customHeight="1">
      <c r="A29" s="29"/>
      <c r="B29" s="29"/>
      <c r="C29" s="30"/>
      <c r="D29" s="31"/>
      <c r="E29" s="32"/>
      <c r="F29" s="33"/>
      <c r="G29" s="35"/>
      <c r="H29" s="35"/>
      <c r="I29" s="35"/>
      <c r="J29" s="35"/>
      <c r="K29" s="35"/>
    </row>
    <row r="30" spans="1:11" s="36" customFormat="1" ht="19.5" customHeight="1">
      <c r="A30" s="29"/>
      <c r="B30" s="29"/>
      <c r="C30" s="30"/>
      <c r="D30" s="31"/>
      <c r="E30" s="32"/>
      <c r="F30" s="33"/>
      <c r="G30" s="35"/>
      <c r="H30" s="35"/>
      <c r="I30" s="35"/>
      <c r="J30" s="35"/>
      <c r="K30" s="35"/>
    </row>
    <row r="31" spans="1:11" s="36" customFormat="1" ht="19.5" customHeight="1">
      <c r="A31" s="29"/>
      <c r="B31" s="29"/>
      <c r="C31" s="30"/>
      <c r="D31" s="31"/>
      <c r="E31" s="32"/>
      <c r="F31" s="33"/>
      <c r="G31" s="35"/>
      <c r="H31" s="35"/>
      <c r="I31" s="35"/>
      <c r="J31" s="35"/>
      <c r="K31" s="35"/>
    </row>
    <row r="33" spans="1:7" ht="20.5">
      <c r="A33" s="36"/>
      <c r="B33" s="36"/>
      <c r="C33" s="36"/>
    </row>
    <row r="34" spans="1:7" ht="20.5">
      <c r="A34" s="36"/>
      <c r="B34" s="36"/>
      <c r="C34" s="36"/>
    </row>
    <row r="35" spans="1:7" ht="20.5">
      <c r="D35" s="36"/>
      <c r="E35" s="36"/>
      <c r="F35" s="36"/>
      <c r="G35" s="36"/>
    </row>
    <row r="36" spans="1:7" ht="20.5">
      <c r="D36" s="230"/>
      <c r="E36" s="230"/>
      <c r="F36" s="230"/>
      <c r="G36" s="230"/>
    </row>
    <row r="37" spans="1:7" ht="20.5">
      <c r="D37" s="230"/>
      <c r="E37" s="230"/>
      <c r="F37" s="230"/>
      <c r="G37" s="230"/>
    </row>
  </sheetData>
  <mergeCells count="5">
    <mergeCell ref="A1:K1"/>
    <mergeCell ref="A2:K2"/>
    <mergeCell ref="D3:F3"/>
    <mergeCell ref="D36:G36"/>
    <mergeCell ref="D37:G37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F454-12C9-4556-9274-375893D9EA9F}">
  <dimension ref="A1:Q46"/>
  <sheetViews>
    <sheetView zoomScale="110" zoomScaleNormal="110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7" ht="20.25" customHeight="1">
      <c r="A1" s="227" t="s">
        <v>470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7" s="36" customFormat="1" ht="21" customHeight="1">
      <c r="A2" s="228" t="s">
        <v>446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7" s="36" customFormat="1" ht="20.5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7" s="36" customFormat="1" ht="20.5">
      <c r="A4" s="107">
        <v>1</v>
      </c>
      <c r="B4" s="29">
        <v>1514</v>
      </c>
      <c r="C4" s="30">
        <v>1309904027299</v>
      </c>
      <c r="D4" s="31" t="s">
        <v>2</v>
      </c>
      <c r="E4" s="32" t="s">
        <v>67</v>
      </c>
      <c r="F4" s="33" t="s">
        <v>29</v>
      </c>
      <c r="G4" s="35"/>
      <c r="H4" s="35"/>
      <c r="I4" s="35"/>
      <c r="J4" s="35"/>
      <c r="K4" s="35"/>
      <c r="M4" s="105"/>
      <c r="N4" s="112"/>
      <c r="O4" s="143"/>
      <c r="P4" s="43"/>
      <c r="Q4" s="43"/>
    </row>
    <row r="5" spans="1:17" s="36" customFormat="1" ht="20.5">
      <c r="A5" s="107">
        <v>2</v>
      </c>
      <c r="B5" s="29">
        <v>1515</v>
      </c>
      <c r="C5" s="30">
        <v>1300101313468</v>
      </c>
      <c r="D5" s="31" t="s">
        <v>2</v>
      </c>
      <c r="E5" s="32" t="s">
        <v>70</v>
      </c>
      <c r="F5" s="33" t="s">
        <v>71</v>
      </c>
      <c r="G5" s="35"/>
      <c r="H5" s="35"/>
      <c r="I5" s="35"/>
      <c r="J5" s="35"/>
      <c r="K5" s="35"/>
    </row>
    <row r="6" spans="1:17" s="36" customFormat="1" ht="20.5">
      <c r="A6" s="29">
        <v>3</v>
      </c>
      <c r="B6" s="29">
        <v>1517</v>
      </c>
      <c r="C6" s="30">
        <v>1159900610013</v>
      </c>
      <c r="D6" s="31" t="s">
        <v>2</v>
      </c>
      <c r="E6" s="32" t="s">
        <v>68</v>
      </c>
      <c r="F6" s="33" t="s">
        <v>69</v>
      </c>
      <c r="G6" s="35"/>
      <c r="H6" s="35"/>
      <c r="I6" s="35"/>
      <c r="J6" s="35"/>
      <c r="K6" s="35"/>
    </row>
    <row r="7" spans="1:17" s="36" customFormat="1" ht="20.5">
      <c r="A7" s="29">
        <v>4</v>
      </c>
      <c r="B7" s="29">
        <v>1518</v>
      </c>
      <c r="C7" s="30">
        <v>1309904054822</v>
      </c>
      <c r="D7" s="31" t="s">
        <v>2</v>
      </c>
      <c r="E7" s="32" t="s">
        <v>75</v>
      </c>
      <c r="F7" s="33" t="s">
        <v>76</v>
      </c>
      <c r="G7" s="35"/>
      <c r="H7" s="35"/>
      <c r="I7" s="35"/>
      <c r="J7" s="35"/>
      <c r="K7" s="35"/>
    </row>
    <row r="8" spans="1:17" s="36" customFormat="1" ht="20.5">
      <c r="A8" s="29">
        <v>5</v>
      </c>
      <c r="B8" s="29">
        <v>1519</v>
      </c>
      <c r="C8" s="30">
        <v>1309500001255</v>
      </c>
      <c r="D8" s="31" t="s">
        <v>2</v>
      </c>
      <c r="E8" s="32" t="s">
        <v>72</v>
      </c>
      <c r="F8" s="33" t="s">
        <v>73</v>
      </c>
      <c r="G8" s="35"/>
      <c r="H8" s="35"/>
      <c r="I8" s="35"/>
      <c r="J8" s="35"/>
      <c r="K8" s="35"/>
    </row>
    <row r="9" spans="1:17" s="36" customFormat="1" ht="20.5">
      <c r="A9" s="29">
        <v>6</v>
      </c>
      <c r="B9" s="29">
        <v>1520</v>
      </c>
      <c r="C9" s="30">
        <v>1309904091779</v>
      </c>
      <c r="D9" s="31" t="s">
        <v>2</v>
      </c>
      <c r="E9" s="32" t="s">
        <v>77</v>
      </c>
      <c r="F9" s="33" t="s">
        <v>78</v>
      </c>
      <c r="G9" s="35"/>
      <c r="H9" s="35"/>
      <c r="I9" s="35"/>
      <c r="J9" s="35"/>
      <c r="K9" s="35"/>
    </row>
    <row r="10" spans="1:17" s="36" customFormat="1" ht="20.5">
      <c r="A10" s="29">
        <v>7</v>
      </c>
      <c r="B10" s="29">
        <v>1521</v>
      </c>
      <c r="C10" s="30">
        <v>1309500001743</v>
      </c>
      <c r="D10" s="31" t="s">
        <v>2</v>
      </c>
      <c r="E10" s="32" t="s">
        <v>79</v>
      </c>
      <c r="F10" s="33" t="s">
        <v>80</v>
      </c>
      <c r="G10" s="35"/>
      <c r="H10" s="35"/>
      <c r="I10" s="35"/>
      <c r="J10" s="35"/>
      <c r="K10" s="35"/>
    </row>
    <row r="11" spans="1:17" s="36" customFormat="1" ht="20.5">
      <c r="A11" s="29">
        <v>8</v>
      </c>
      <c r="B11" s="29">
        <v>1522</v>
      </c>
      <c r="C11" s="30">
        <v>1300101314375</v>
      </c>
      <c r="D11" s="31" t="s">
        <v>2</v>
      </c>
      <c r="E11" s="32" t="s">
        <v>82</v>
      </c>
      <c r="F11" s="33" t="s">
        <v>83</v>
      </c>
      <c r="G11" s="35"/>
      <c r="H11" s="35"/>
      <c r="I11" s="35"/>
      <c r="J11" s="35"/>
      <c r="K11" s="35"/>
    </row>
    <row r="12" spans="1:17" s="36" customFormat="1" ht="20.5">
      <c r="A12" s="29">
        <v>9</v>
      </c>
      <c r="B12" s="29">
        <v>1523</v>
      </c>
      <c r="C12" s="30">
        <v>1309904054423</v>
      </c>
      <c r="D12" s="31" t="s">
        <v>2</v>
      </c>
      <c r="E12" s="32" t="s">
        <v>86</v>
      </c>
      <c r="F12" s="33" t="s">
        <v>121</v>
      </c>
      <c r="G12" s="35"/>
      <c r="H12" s="35"/>
      <c r="I12" s="35"/>
      <c r="J12" s="35"/>
      <c r="K12" s="35"/>
    </row>
    <row r="13" spans="1:17" s="36" customFormat="1" ht="20.5">
      <c r="A13" s="29">
        <v>10</v>
      </c>
      <c r="B13" s="29">
        <v>1524</v>
      </c>
      <c r="C13" s="30">
        <v>1309500002821</v>
      </c>
      <c r="D13" s="31" t="s">
        <v>2</v>
      </c>
      <c r="E13" s="32" t="s">
        <v>20</v>
      </c>
      <c r="F13" s="33" t="s">
        <v>81</v>
      </c>
      <c r="G13" s="35"/>
      <c r="H13" s="35"/>
      <c r="I13" s="35"/>
      <c r="J13" s="35"/>
      <c r="K13" s="35"/>
    </row>
    <row r="14" spans="1:17" s="36" customFormat="1" ht="20.5">
      <c r="A14" s="29">
        <v>11</v>
      </c>
      <c r="B14" s="29">
        <v>1526</v>
      </c>
      <c r="C14" s="30">
        <v>1309500001131</v>
      </c>
      <c r="D14" s="31" t="s">
        <v>2</v>
      </c>
      <c r="E14" s="32" t="s">
        <v>84</v>
      </c>
      <c r="F14" s="33" t="s">
        <v>85</v>
      </c>
      <c r="G14" s="35"/>
      <c r="H14" s="35"/>
      <c r="I14" s="35"/>
      <c r="J14" s="35"/>
      <c r="K14" s="35"/>
    </row>
    <row r="15" spans="1:17" s="36" customFormat="1" ht="20.5">
      <c r="A15" s="29">
        <v>12</v>
      </c>
      <c r="B15" s="29">
        <v>1581</v>
      </c>
      <c r="C15" s="30">
        <v>1300101314103</v>
      </c>
      <c r="D15" s="31" t="s">
        <v>2</v>
      </c>
      <c r="E15" s="32" t="s">
        <v>99</v>
      </c>
      <c r="F15" s="33" t="s">
        <v>100</v>
      </c>
      <c r="G15" s="35"/>
      <c r="H15" s="35"/>
      <c r="I15" s="35"/>
      <c r="J15" s="35"/>
      <c r="K15" s="35"/>
    </row>
    <row r="16" spans="1:17" s="36" customFormat="1" ht="20.5">
      <c r="A16" s="29">
        <v>13</v>
      </c>
      <c r="B16" s="29">
        <v>1594</v>
      </c>
      <c r="C16" s="30">
        <v>1300101311741</v>
      </c>
      <c r="D16" s="31" t="s">
        <v>2</v>
      </c>
      <c r="E16" s="32" t="s">
        <v>419</v>
      </c>
      <c r="F16" s="33" t="s">
        <v>420</v>
      </c>
      <c r="G16" s="35"/>
      <c r="H16" s="35"/>
      <c r="I16" s="35"/>
      <c r="J16" s="35"/>
      <c r="K16" s="35"/>
    </row>
    <row r="17" spans="1:11" s="36" customFormat="1" ht="20.5">
      <c r="A17" s="29">
        <v>14</v>
      </c>
      <c r="B17" s="29">
        <v>1625</v>
      </c>
      <c r="C17" s="30">
        <v>1309904114124</v>
      </c>
      <c r="D17" s="31" t="s">
        <v>2</v>
      </c>
      <c r="E17" s="32" t="s">
        <v>87</v>
      </c>
      <c r="F17" s="33" t="s">
        <v>88</v>
      </c>
      <c r="G17" s="35"/>
      <c r="H17" s="35"/>
      <c r="I17" s="35"/>
      <c r="J17" s="35"/>
      <c r="K17" s="35"/>
    </row>
    <row r="18" spans="1:11" s="36" customFormat="1" ht="20.5">
      <c r="A18" s="29">
        <v>15</v>
      </c>
      <c r="B18" s="55">
        <v>1827</v>
      </c>
      <c r="C18" s="60">
        <v>1529902483457</v>
      </c>
      <c r="D18" s="31" t="s">
        <v>2</v>
      </c>
      <c r="E18" s="58" t="s">
        <v>322</v>
      </c>
      <c r="F18" s="59" t="s">
        <v>323</v>
      </c>
      <c r="G18" s="35"/>
      <c r="H18" s="35"/>
      <c r="I18" s="35"/>
      <c r="J18" s="35"/>
      <c r="K18" s="35"/>
    </row>
    <row r="19" spans="1:11" s="36" customFormat="1" ht="20.5">
      <c r="A19" s="29">
        <v>16</v>
      </c>
      <c r="B19" s="189">
        <v>1866</v>
      </c>
      <c r="C19" s="62">
        <v>1309904123026</v>
      </c>
      <c r="D19" s="88" t="s">
        <v>2</v>
      </c>
      <c r="E19" s="58" t="s">
        <v>377</v>
      </c>
      <c r="F19" s="59" t="s">
        <v>378</v>
      </c>
      <c r="G19" s="35"/>
      <c r="H19" s="35"/>
      <c r="I19" s="35"/>
      <c r="J19" s="35"/>
      <c r="K19" s="35"/>
    </row>
    <row r="20" spans="1:11" s="36" customFormat="1" ht="20.5">
      <c r="A20" s="113">
        <v>17</v>
      </c>
      <c r="B20" s="24">
        <v>1867</v>
      </c>
      <c r="C20" s="198">
        <v>1309903935434</v>
      </c>
      <c r="D20" s="199" t="s">
        <v>2</v>
      </c>
      <c r="E20" s="23" t="s">
        <v>374</v>
      </c>
      <c r="F20" s="23" t="s">
        <v>272</v>
      </c>
      <c r="G20" s="35"/>
      <c r="H20" s="35"/>
      <c r="I20" s="35"/>
      <c r="J20" s="35"/>
      <c r="K20" s="35"/>
    </row>
    <row r="21" spans="1:11" s="119" customFormat="1" ht="20.5">
      <c r="A21" s="29">
        <v>18</v>
      </c>
      <c r="B21" s="55">
        <v>1868</v>
      </c>
      <c r="C21" s="60">
        <v>1300401243147</v>
      </c>
      <c r="D21" s="88" t="s">
        <v>2</v>
      </c>
      <c r="E21" s="108" t="s">
        <v>379</v>
      </c>
      <c r="F21" s="109" t="s">
        <v>380</v>
      </c>
      <c r="G21" s="118"/>
      <c r="H21" s="118"/>
      <c r="I21" s="118"/>
      <c r="J21" s="118"/>
      <c r="K21" s="118"/>
    </row>
    <row r="22" spans="1:11" s="36" customFormat="1" ht="20.5">
      <c r="A22" s="29">
        <v>19</v>
      </c>
      <c r="B22" s="29">
        <v>1527</v>
      </c>
      <c r="C22" s="30">
        <v>1300101313735</v>
      </c>
      <c r="D22" s="31" t="s">
        <v>34</v>
      </c>
      <c r="E22" s="32" t="s">
        <v>89</v>
      </c>
      <c r="F22" s="33" t="s">
        <v>90</v>
      </c>
      <c r="G22" s="35"/>
      <c r="H22" s="35"/>
      <c r="I22" s="35"/>
      <c r="J22" s="35"/>
      <c r="K22" s="35"/>
    </row>
    <row r="23" spans="1:11" s="36" customFormat="1" ht="20.5">
      <c r="A23" s="29">
        <v>20</v>
      </c>
      <c r="B23" s="29">
        <v>1529</v>
      </c>
      <c r="C23" s="30">
        <v>1309904114990</v>
      </c>
      <c r="D23" s="31" t="s">
        <v>34</v>
      </c>
      <c r="E23" s="32" t="s">
        <v>93</v>
      </c>
      <c r="F23" s="33" t="s">
        <v>94</v>
      </c>
      <c r="G23" s="35"/>
      <c r="H23" s="35"/>
      <c r="I23" s="35"/>
      <c r="J23" s="35"/>
      <c r="K23" s="35"/>
    </row>
    <row r="24" spans="1:11" s="36" customFormat="1" ht="21" customHeight="1">
      <c r="A24" s="29">
        <v>21</v>
      </c>
      <c r="B24" s="29">
        <v>1530</v>
      </c>
      <c r="C24" s="30">
        <v>1309500001409</v>
      </c>
      <c r="D24" s="31" t="s">
        <v>34</v>
      </c>
      <c r="E24" s="32" t="s">
        <v>95</v>
      </c>
      <c r="F24" s="33" t="s">
        <v>8</v>
      </c>
      <c r="G24" s="35"/>
      <c r="H24" s="35"/>
      <c r="I24" s="35"/>
      <c r="J24" s="35"/>
      <c r="K24" s="35"/>
    </row>
    <row r="25" spans="1:11" s="36" customFormat="1" ht="20.5">
      <c r="A25" s="29">
        <v>22</v>
      </c>
      <c r="B25" s="29">
        <v>1536</v>
      </c>
      <c r="C25" s="30">
        <v>1309500003606</v>
      </c>
      <c r="D25" s="31" t="s">
        <v>34</v>
      </c>
      <c r="E25" s="32" t="s">
        <v>96</v>
      </c>
      <c r="F25" s="33" t="s">
        <v>97</v>
      </c>
      <c r="G25" s="35"/>
      <c r="H25" s="35"/>
      <c r="I25" s="35"/>
      <c r="J25" s="35"/>
      <c r="K25" s="35"/>
    </row>
    <row r="26" spans="1:11" s="36" customFormat="1" ht="20.5">
      <c r="A26" s="29">
        <v>23</v>
      </c>
      <c r="B26" s="29">
        <v>1543</v>
      </c>
      <c r="C26" s="30">
        <v>1309500001310</v>
      </c>
      <c r="D26" s="31" t="s">
        <v>34</v>
      </c>
      <c r="E26" s="32" t="s">
        <v>98</v>
      </c>
      <c r="F26" s="33" t="s">
        <v>154</v>
      </c>
      <c r="G26" s="35"/>
      <c r="H26" s="35"/>
      <c r="I26" s="35"/>
      <c r="J26" s="35"/>
      <c r="K26" s="35"/>
    </row>
    <row r="27" spans="1:11" s="36" customFormat="1" ht="20.5">
      <c r="A27" s="29">
        <v>24</v>
      </c>
      <c r="B27" s="29">
        <v>1600</v>
      </c>
      <c r="C27" s="30">
        <v>1309500001921</v>
      </c>
      <c r="D27" s="31" t="s">
        <v>34</v>
      </c>
      <c r="E27" s="32" t="s">
        <v>101</v>
      </c>
      <c r="F27" s="33" t="s">
        <v>16</v>
      </c>
      <c r="G27" s="35"/>
      <c r="H27" s="35"/>
      <c r="I27" s="35"/>
      <c r="J27" s="35"/>
      <c r="K27" s="35"/>
    </row>
    <row r="28" spans="1:11" s="36" customFormat="1" ht="20.5">
      <c r="A28" s="29">
        <v>25</v>
      </c>
      <c r="B28" s="29">
        <v>1821</v>
      </c>
      <c r="C28" s="30">
        <v>1229901453107</v>
      </c>
      <c r="D28" s="31" t="s">
        <v>34</v>
      </c>
      <c r="E28" s="32" t="s">
        <v>295</v>
      </c>
      <c r="F28" s="33" t="s">
        <v>292</v>
      </c>
      <c r="G28" s="35"/>
      <c r="H28" s="35"/>
      <c r="I28" s="35"/>
      <c r="J28" s="35"/>
      <c r="K28" s="35"/>
    </row>
    <row r="29" spans="1:11" s="36" customFormat="1" ht="20.5">
      <c r="A29" s="29">
        <v>26</v>
      </c>
      <c r="B29" s="55">
        <v>1861</v>
      </c>
      <c r="C29" s="60">
        <v>1309500001841</v>
      </c>
      <c r="D29" s="31" t="s">
        <v>34</v>
      </c>
      <c r="E29" s="58" t="s">
        <v>343</v>
      </c>
      <c r="F29" s="59" t="s">
        <v>344</v>
      </c>
      <c r="G29" s="35"/>
      <c r="H29" s="35"/>
      <c r="I29" s="35"/>
      <c r="J29" s="35"/>
      <c r="K29" s="35"/>
    </row>
    <row r="30" spans="1:11" s="36" customFormat="1" ht="20.5">
      <c r="A30" s="29">
        <v>27</v>
      </c>
      <c r="B30" s="55">
        <v>1903</v>
      </c>
      <c r="C30" s="62">
        <v>1209601784469</v>
      </c>
      <c r="D30" s="115" t="s">
        <v>2</v>
      </c>
      <c r="E30" s="58" t="s">
        <v>443</v>
      </c>
      <c r="F30" s="59" t="s">
        <v>444</v>
      </c>
      <c r="G30" s="35"/>
      <c r="H30" s="35"/>
      <c r="I30" s="35"/>
      <c r="J30" s="35"/>
      <c r="K30" s="35"/>
    </row>
    <row r="31" spans="1:11" ht="20.5">
      <c r="A31" s="29"/>
      <c r="B31" s="89"/>
      <c r="C31" s="89"/>
      <c r="D31" s="206"/>
      <c r="E31" s="207"/>
      <c r="F31" s="208"/>
      <c r="G31" s="144"/>
      <c r="H31" s="35"/>
      <c r="I31" s="35"/>
      <c r="J31" s="35"/>
      <c r="K31" s="35"/>
    </row>
    <row r="32" spans="1:11" ht="20.5">
      <c r="A32" s="29"/>
      <c r="B32" s="29"/>
      <c r="C32" s="30"/>
      <c r="D32" s="145"/>
      <c r="E32" s="146"/>
      <c r="F32" s="147"/>
      <c r="G32" s="35"/>
      <c r="H32" s="35"/>
      <c r="I32" s="35"/>
      <c r="J32" s="35"/>
      <c r="K32" s="35"/>
    </row>
    <row r="33" spans="1:11" ht="20.5">
      <c r="A33" s="29"/>
      <c r="B33" s="29"/>
      <c r="C33" s="30"/>
      <c r="D33" s="88"/>
      <c r="E33" s="32"/>
      <c r="F33" s="33"/>
      <c r="G33" s="89"/>
      <c r="H33" s="89"/>
      <c r="I33" s="89"/>
      <c r="J33" s="89"/>
      <c r="K33" s="89"/>
    </row>
    <row r="34" spans="1:11" ht="20.5">
      <c r="A34" s="157"/>
      <c r="B34" s="157"/>
      <c r="C34" s="186"/>
      <c r="D34" s="157"/>
      <c r="E34" s="187"/>
      <c r="F34" s="187"/>
    </row>
    <row r="35" spans="1:11" ht="20.5">
      <c r="A35" s="157"/>
      <c r="B35" s="157"/>
      <c r="C35" s="186"/>
      <c r="D35" s="157"/>
      <c r="E35" s="187"/>
      <c r="F35" s="187"/>
    </row>
    <row r="36" spans="1:11" ht="20.5">
      <c r="A36" s="157"/>
      <c r="B36" s="12"/>
      <c r="C36" s="12"/>
      <c r="D36" s="157"/>
      <c r="E36" s="36"/>
      <c r="F36" s="36"/>
    </row>
    <row r="37" spans="1:11" ht="20.5">
      <c r="A37" s="157"/>
      <c r="B37" s="157"/>
      <c r="C37" s="186"/>
      <c r="D37" s="157"/>
      <c r="E37" s="187"/>
      <c r="F37" s="187"/>
    </row>
    <row r="38" spans="1:11" ht="20.5">
      <c r="A38" s="157"/>
      <c r="B38" s="157"/>
      <c r="C38" s="186"/>
      <c r="D38" s="157"/>
      <c r="E38" s="187"/>
      <c r="F38" s="187"/>
    </row>
    <row r="39" spans="1:11" ht="20.5">
      <c r="A39" s="157"/>
      <c r="B39" s="157"/>
      <c r="C39" s="186"/>
      <c r="D39" s="157"/>
      <c r="E39" s="187"/>
      <c r="F39" s="187"/>
    </row>
    <row r="40" spans="1:11" ht="20.5">
      <c r="A40" s="157"/>
      <c r="B40" s="157"/>
      <c r="C40" s="186"/>
      <c r="D40" s="157"/>
      <c r="E40" s="187"/>
      <c r="F40" s="187"/>
    </row>
    <row r="42" spans="1:11" ht="20.5">
      <c r="A42" s="36"/>
      <c r="B42" s="36"/>
      <c r="C42" s="36"/>
    </row>
    <row r="43" spans="1:11" ht="20.5">
      <c r="A43" s="36"/>
      <c r="B43" s="36"/>
      <c r="C43" s="36"/>
    </row>
    <row r="44" spans="1:11" ht="20.5">
      <c r="D44" s="36"/>
      <c r="E44" s="36"/>
      <c r="F44" s="36"/>
      <c r="G44" s="36"/>
    </row>
    <row r="45" spans="1:11" ht="20.5">
      <c r="D45" s="230"/>
      <c r="E45" s="230"/>
      <c r="F45" s="230"/>
      <c r="G45" s="230"/>
    </row>
    <row r="46" spans="1:11" ht="20.5">
      <c r="D46" s="230"/>
      <c r="E46" s="230"/>
      <c r="F46" s="230"/>
      <c r="G46" s="230"/>
    </row>
  </sheetData>
  <mergeCells count="5">
    <mergeCell ref="A1:K1"/>
    <mergeCell ref="A2:K2"/>
    <mergeCell ref="D3:F3"/>
    <mergeCell ref="D45:G45"/>
    <mergeCell ref="D46:G46"/>
  </mergeCells>
  <pageMargins left="0.76" right="0.37" top="0.56000000000000005" bottom="0.44" header="0.3" footer="0.3"/>
  <pageSetup paperSize="9" orientation="portrait" horizontalDpi="4294967293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3A40-54DB-4D0A-B566-C1BC22079030}">
  <dimension ref="A1:P43"/>
  <sheetViews>
    <sheetView zoomScale="93" zoomScaleNormal="93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11" width="4.08984375" style="79" customWidth="1"/>
    <col min="12" max="90" width="9.08984375" style="79" customWidth="1"/>
    <col min="91" max="16384" width="8.6328125" style="79"/>
  </cols>
  <sheetData>
    <row r="1" spans="1:16" ht="20.25" customHeight="1">
      <c r="A1" s="227" t="s">
        <v>471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6" s="36" customFormat="1" ht="21" customHeight="1">
      <c r="A2" s="228" t="s">
        <v>431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6" s="36" customFormat="1" ht="21" customHeight="1">
      <c r="A3" s="80" t="s">
        <v>159</v>
      </c>
      <c r="B3" s="80" t="s">
        <v>1</v>
      </c>
      <c r="C3" s="80" t="s">
        <v>0</v>
      </c>
      <c r="D3" s="229" t="s">
        <v>160</v>
      </c>
      <c r="E3" s="229"/>
      <c r="F3" s="229"/>
      <c r="G3" s="81"/>
      <c r="H3" s="81"/>
      <c r="I3" s="81"/>
      <c r="J3" s="81"/>
      <c r="K3" s="81"/>
    </row>
    <row r="4" spans="1:16" s="36" customFormat="1" ht="21" customHeight="1">
      <c r="A4" s="174">
        <v>1</v>
      </c>
      <c r="B4" s="175">
        <v>1454</v>
      </c>
      <c r="C4" s="176">
        <v>1309903951952</v>
      </c>
      <c r="D4" s="177" t="s">
        <v>2</v>
      </c>
      <c r="E4" s="178" t="s">
        <v>102</v>
      </c>
      <c r="F4" s="179" t="s">
        <v>103</v>
      </c>
      <c r="G4" s="17"/>
      <c r="H4" s="17"/>
      <c r="I4" s="17"/>
      <c r="J4" s="17"/>
      <c r="K4" s="35"/>
    </row>
    <row r="5" spans="1:16" s="36" customFormat="1" ht="21" customHeight="1">
      <c r="A5" s="175">
        <v>2</v>
      </c>
      <c r="B5" s="175">
        <v>1468</v>
      </c>
      <c r="C5" s="176">
        <v>1300101308634</v>
      </c>
      <c r="D5" s="177" t="s">
        <v>2</v>
      </c>
      <c r="E5" s="178" t="s">
        <v>104</v>
      </c>
      <c r="F5" s="179" t="s">
        <v>105</v>
      </c>
      <c r="G5" s="17"/>
      <c r="H5" s="17"/>
      <c r="I5" s="17"/>
      <c r="J5" s="17"/>
      <c r="K5" s="35"/>
    </row>
    <row r="6" spans="1:16" s="36" customFormat="1" ht="21" customHeight="1">
      <c r="A6" s="175">
        <v>3</v>
      </c>
      <c r="B6" s="175">
        <v>1475</v>
      </c>
      <c r="C6" s="176">
        <v>1300101309665</v>
      </c>
      <c r="D6" s="177" t="s">
        <v>2</v>
      </c>
      <c r="E6" s="178" t="s">
        <v>106</v>
      </c>
      <c r="F6" s="179" t="s">
        <v>107</v>
      </c>
      <c r="G6" s="17"/>
      <c r="H6" s="17"/>
      <c r="I6" s="17"/>
      <c r="J6" s="17"/>
      <c r="K6" s="35"/>
    </row>
    <row r="7" spans="1:16" s="36" customFormat="1" ht="21" customHeight="1">
      <c r="A7" s="175">
        <v>4</v>
      </c>
      <c r="B7" s="175">
        <v>1478</v>
      </c>
      <c r="C7" s="176">
        <v>1309903982122</v>
      </c>
      <c r="D7" s="177" t="s">
        <v>2</v>
      </c>
      <c r="E7" s="178" t="s">
        <v>108</v>
      </c>
      <c r="F7" s="179" t="s">
        <v>109</v>
      </c>
      <c r="G7" s="17"/>
      <c r="H7" s="17"/>
      <c r="I7" s="17"/>
      <c r="J7" s="17"/>
      <c r="K7" s="35"/>
      <c r="L7" s="167"/>
      <c r="M7" s="168"/>
      <c r="N7" s="167"/>
      <c r="O7" s="6"/>
      <c r="P7" s="6"/>
    </row>
    <row r="8" spans="1:16" s="36" customFormat="1" ht="21" customHeight="1">
      <c r="A8" s="175">
        <v>5</v>
      </c>
      <c r="B8" s="175">
        <v>1479</v>
      </c>
      <c r="C8" s="176">
        <v>1309903993086</v>
      </c>
      <c r="D8" s="177" t="s">
        <v>2</v>
      </c>
      <c r="E8" s="178" t="s">
        <v>110</v>
      </c>
      <c r="F8" s="179" t="s">
        <v>111</v>
      </c>
      <c r="G8" s="17"/>
      <c r="H8" s="17"/>
      <c r="I8" s="17"/>
      <c r="J8" s="17"/>
      <c r="K8" s="35"/>
    </row>
    <row r="9" spans="1:16" s="36" customFormat="1" ht="21" customHeight="1">
      <c r="A9" s="175">
        <v>6</v>
      </c>
      <c r="B9" s="175">
        <v>1481</v>
      </c>
      <c r="C9" s="176">
        <v>1300101311139</v>
      </c>
      <c r="D9" s="177" t="s">
        <v>2</v>
      </c>
      <c r="E9" s="178" t="s">
        <v>112</v>
      </c>
      <c r="F9" s="179" t="s">
        <v>113</v>
      </c>
      <c r="G9" s="17"/>
      <c r="H9" s="17"/>
      <c r="I9" s="17"/>
      <c r="J9" s="17"/>
      <c r="K9" s="35"/>
    </row>
    <row r="10" spans="1:16" s="36" customFormat="1" ht="21" customHeight="1">
      <c r="A10" s="175">
        <v>7</v>
      </c>
      <c r="B10" s="175">
        <v>1482</v>
      </c>
      <c r="C10" s="176">
        <v>1309904007271</v>
      </c>
      <c r="D10" s="177" t="s">
        <v>2</v>
      </c>
      <c r="E10" s="178" t="s">
        <v>114</v>
      </c>
      <c r="F10" s="179" t="s">
        <v>115</v>
      </c>
      <c r="G10" s="17"/>
      <c r="H10" s="17"/>
      <c r="I10" s="17"/>
      <c r="J10" s="17"/>
      <c r="K10" s="35"/>
    </row>
    <row r="11" spans="1:16" s="36" customFormat="1" ht="21" customHeight="1">
      <c r="A11" s="175">
        <v>8</v>
      </c>
      <c r="B11" s="175">
        <v>1483</v>
      </c>
      <c r="C11" s="176">
        <v>1300101311813</v>
      </c>
      <c r="D11" s="177" t="s">
        <v>2</v>
      </c>
      <c r="E11" s="178" t="s">
        <v>118</v>
      </c>
      <c r="F11" s="179" t="s">
        <v>97</v>
      </c>
      <c r="G11" s="17"/>
      <c r="H11" s="17"/>
      <c r="I11" s="17"/>
      <c r="J11" s="17"/>
      <c r="K11" s="35"/>
    </row>
    <row r="12" spans="1:16" s="36" customFormat="1" ht="21" customHeight="1">
      <c r="A12" s="175">
        <v>9</v>
      </c>
      <c r="B12" s="175">
        <v>1484</v>
      </c>
      <c r="C12" s="176">
        <v>1209000661915</v>
      </c>
      <c r="D12" s="177" t="s">
        <v>2</v>
      </c>
      <c r="E12" s="178" t="s">
        <v>116</v>
      </c>
      <c r="F12" s="179" t="s">
        <v>117</v>
      </c>
      <c r="G12" s="17"/>
      <c r="H12" s="17"/>
      <c r="I12" s="17"/>
      <c r="J12" s="17"/>
      <c r="K12" s="35"/>
    </row>
    <row r="13" spans="1:16" s="36" customFormat="1" ht="21" customHeight="1">
      <c r="A13" s="175">
        <v>10</v>
      </c>
      <c r="B13" s="11">
        <v>1878</v>
      </c>
      <c r="C13" s="25">
        <v>1300101308855</v>
      </c>
      <c r="D13" s="18" t="s">
        <v>2</v>
      </c>
      <c r="E13" s="23" t="s">
        <v>421</v>
      </c>
      <c r="F13" s="23" t="s">
        <v>422</v>
      </c>
      <c r="G13" s="17"/>
      <c r="H13" s="17"/>
      <c r="I13" s="17"/>
      <c r="J13" s="17"/>
      <c r="K13" s="35"/>
    </row>
    <row r="14" spans="1:16" s="36" customFormat="1" ht="21" customHeight="1">
      <c r="A14" s="175">
        <v>11</v>
      </c>
      <c r="B14" s="175">
        <v>1486</v>
      </c>
      <c r="C14" s="176">
        <v>1300101310094</v>
      </c>
      <c r="D14" s="177" t="s">
        <v>34</v>
      </c>
      <c r="E14" s="178" t="s">
        <v>120</v>
      </c>
      <c r="F14" s="179" t="s">
        <v>64</v>
      </c>
      <c r="G14" s="17"/>
      <c r="H14" s="17"/>
      <c r="I14" s="17"/>
      <c r="J14" s="17"/>
      <c r="K14" s="35"/>
    </row>
    <row r="15" spans="1:16" s="36" customFormat="1" ht="21" customHeight="1">
      <c r="A15" s="175">
        <v>12</v>
      </c>
      <c r="B15" s="175">
        <v>1488</v>
      </c>
      <c r="C15" s="176">
        <v>1300101310272</v>
      </c>
      <c r="D15" s="177" t="s">
        <v>34</v>
      </c>
      <c r="E15" s="178" t="s">
        <v>122</v>
      </c>
      <c r="F15" s="179" t="s">
        <v>123</v>
      </c>
      <c r="G15" s="17"/>
      <c r="H15" s="17"/>
      <c r="I15" s="17"/>
      <c r="J15" s="17"/>
      <c r="K15" s="35"/>
    </row>
    <row r="16" spans="1:16" s="36" customFormat="1" ht="21" customHeight="1">
      <c r="A16" s="175">
        <v>13</v>
      </c>
      <c r="B16" s="175">
        <v>1489</v>
      </c>
      <c r="C16" s="176">
        <v>1309903943852</v>
      </c>
      <c r="D16" s="177" t="s">
        <v>34</v>
      </c>
      <c r="E16" s="178" t="s">
        <v>91</v>
      </c>
      <c r="F16" s="179" t="s">
        <v>121</v>
      </c>
      <c r="G16" s="17"/>
      <c r="H16" s="17"/>
      <c r="I16" s="17"/>
      <c r="J16" s="17"/>
      <c r="K16" s="35"/>
    </row>
    <row r="17" spans="1:11" s="36" customFormat="1" ht="21" customHeight="1">
      <c r="A17" s="175">
        <v>14</v>
      </c>
      <c r="B17" s="175">
        <v>1490</v>
      </c>
      <c r="C17" s="176">
        <v>1300101309509</v>
      </c>
      <c r="D17" s="177" t="s">
        <v>34</v>
      </c>
      <c r="E17" s="178" t="s">
        <v>125</v>
      </c>
      <c r="F17" s="179" t="s">
        <v>126</v>
      </c>
      <c r="G17" s="17"/>
      <c r="H17" s="17"/>
      <c r="I17" s="17"/>
      <c r="J17" s="17"/>
      <c r="K17" s="35"/>
    </row>
    <row r="18" spans="1:11" s="36" customFormat="1" ht="21" customHeight="1">
      <c r="A18" s="175">
        <v>15</v>
      </c>
      <c r="B18" s="175">
        <v>1491</v>
      </c>
      <c r="C18" s="176">
        <v>1309903960293</v>
      </c>
      <c r="D18" s="177" t="s">
        <v>34</v>
      </c>
      <c r="E18" s="178" t="s">
        <v>124</v>
      </c>
      <c r="F18" s="179" t="s">
        <v>64</v>
      </c>
      <c r="G18" s="17"/>
      <c r="H18" s="17"/>
      <c r="I18" s="17"/>
      <c r="J18" s="17"/>
      <c r="K18" s="35"/>
    </row>
    <row r="19" spans="1:11" s="36" customFormat="1" ht="21" customHeight="1">
      <c r="A19" s="174">
        <v>16</v>
      </c>
      <c r="B19" s="175">
        <v>1492</v>
      </c>
      <c r="C19" s="176">
        <v>1309903965066</v>
      </c>
      <c r="D19" s="177" t="s">
        <v>34</v>
      </c>
      <c r="E19" s="178" t="s">
        <v>127</v>
      </c>
      <c r="F19" s="179" t="s">
        <v>128</v>
      </c>
      <c r="G19" s="17"/>
      <c r="H19" s="17"/>
      <c r="I19" s="17"/>
      <c r="J19" s="17"/>
      <c r="K19" s="35"/>
    </row>
    <row r="20" spans="1:11" s="36" customFormat="1" ht="21" customHeight="1">
      <c r="A20" s="175">
        <v>17</v>
      </c>
      <c r="B20" s="175">
        <v>1496</v>
      </c>
      <c r="C20" s="176">
        <v>1300101311783</v>
      </c>
      <c r="D20" s="177" t="s">
        <v>34</v>
      </c>
      <c r="E20" s="178" t="s">
        <v>129</v>
      </c>
      <c r="F20" s="179" t="s">
        <v>66</v>
      </c>
      <c r="G20" s="17"/>
      <c r="H20" s="17"/>
      <c r="I20" s="17"/>
      <c r="J20" s="17"/>
      <c r="K20" s="35"/>
    </row>
    <row r="21" spans="1:11" s="36" customFormat="1" ht="21" customHeight="1">
      <c r="A21" s="175">
        <v>18</v>
      </c>
      <c r="B21" s="175">
        <v>1628</v>
      </c>
      <c r="C21" s="176">
        <v>1309903927563</v>
      </c>
      <c r="D21" s="177" t="s">
        <v>34</v>
      </c>
      <c r="E21" s="178" t="s">
        <v>161</v>
      </c>
      <c r="F21" s="179" t="s">
        <v>162</v>
      </c>
      <c r="G21" s="17"/>
      <c r="H21" s="17"/>
      <c r="I21" s="17"/>
      <c r="J21" s="17"/>
      <c r="K21" s="35"/>
    </row>
    <row r="22" spans="1:11" s="36" customFormat="1" ht="21" customHeight="1">
      <c r="A22" s="175">
        <v>19</v>
      </c>
      <c r="B22" s="175">
        <v>1823</v>
      </c>
      <c r="C22" s="176">
        <v>1209601749183</v>
      </c>
      <c r="D22" s="177" t="s">
        <v>34</v>
      </c>
      <c r="E22" s="178" t="s">
        <v>281</v>
      </c>
      <c r="F22" s="179" t="s">
        <v>282</v>
      </c>
      <c r="G22" s="17"/>
      <c r="H22" s="17"/>
      <c r="I22" s="17"/>
      <c r="J22" s="17"/>
      <c r="K22" s="35"/>
    </row>
    <row r="23" spans="1:11" s="119" customFormat="1" ht="21" customHeight="1">
      <c r="A23" s="175">
        <v>20</v>
      </c>
      <c r="B23" s="183">
        <v>1865</v>
      </c>
      <c r="C23" s="180">
        <v>2240401046171</v>
      </c>
      <c r="D23" s="184" t="s">
        <v>34</v>
      </c>
      <c r="E23" s="181" t="s">
        <v>375</v>
      </c>
      <c r="F23" s="182" t="s">
        <v>376</v>
      </c>
      <c r="G23" s="117"/>
      <c r="H23" s="117"/>
      <c r="I23" s="117"/>
      <c r="J23" s="117"/>
      <c r="K23" s="118"/>
    </row>
    <row r="24" spans="1:11" s="164" customFormat="1" ht="21" customHeight="1">
      <c r="A24" s="175"/>
      <c r="B24" s="192"/>
      <c r="C24" s="193"/>
      <c r="D24" s="194"/>
      <c r="E24" s="195"/>
      <c r="F24" s="196"/>
      <c r="G24" s="166"/>
      <c r="H24" s="166"/>
      <c r="I24" s="166"/>
      <c r="J24" s="166"/>
      <c r="K24" s="165"/>
    </row>
    <row r="25" spans="1:11" s="36" customFormat="1" ht="21" customHeight="1">
      <c r="A25" s="175"/>
      <c r="B25" s="114"/>
      <c r="C25" s="114"/>
      <c r="D25" s="115"/>
      <c r="E25" s="58"/>
      <c r="F25" s="59"/>
      <c r="H25" s="17"/>
      <c r="I25" s="17"/>
      <c r="J25" s="17"/>
      <c r="K25" s="35"/>
    </row>
    <row r="26" spans="1:11" s="36" customFormat="1" ht="21" customHeight="1">
      <c r="A26" s="175"/>
      <c r="B26" s="114"/>
      <c r="C26" s="114"/>
      <c r="D26" s="115"/>
      <c r="E26" s="58"/>
      <c r="F26" s="59"/>
      <c r="G26" s="17"/>
      <c r="H26" s="17"/>
      <c r="I26" s="17"/>
      <c r="J26" s="17"/>
      <c r="K26" s="35"/>
    </row>
    <row r="27" spans="1:11" s="36" customFormat="1" ht="21" customHeight="1">
      <c r="B27" s="111"/>
      <c r="C27" s="110"/>
      <c r="G27" s="72"/>
      <c r="H27" s="17"/>
      <c r="I27" s="17"/>
      <c r="J27" s="17"/>
      <c r="K27" s="35"/>
    </row>
    <row r="28" spans="1:11" s="36" customFormat="1" ht="21" customHeight="1">
      <c r="A28" s="11"/>
      <c r="B28" s="115"/>
      <c r="C28" s="115"/>
      <c r="D28" s="115"/>
      <c r="E28" s="58"/>
      <c r="F28" s="59"/>
      <c r="G28" s="17"/>
      <c r="H28" s="17"/>
      <c r="I28" s="17"/>
      <c r="J28" s="17"/>
      <c r="K28" s="35"/>
    </row>
    <row r="29" spans="1:11" s="36" customFormat="1" ht="20.5">
      <c r="A29" s="113"/>
      <c r="B29" s="92"/>
      <c r="C29" s="92"/>
      <c r="G29" s="35"/>
      <c r="H29" s="35"/>
      <c r="I29" s="35"/>
      <c r="J29" s="35"/>
      <c r="K29" s="35"/>
    </row>
    <row r="30" spans="1:11" s="36" customFormat="1" ht="20.5">
      <c r="A30" s="55"/>
      <c r="B30" s="114"/>
      <c r="C30" s="114"/>
      <c r="D30" s="58"/>
      <c r="E30" s="58"/>
      <c r="F30" s="59"/>
      <c r="G30" s="35"/>
      <c r="H30" s="35"/>
      <c r="I30" s="35"/>
      <c r="J30" s="35"/>
      <c r="K30" s="35"/>
    </row>
    <row r="31" spans="1:11" s="36" customFormat="1" ht="20.5">
      <c r="A31" s="29"/>
      <c r="B31" s="114"/>
      <c r="C31" s="114"/>
      <c r="D31" s="115"/>
      <c r="E31" s="58"/>
      <c r="F31" s="59"/>
      <c r="G31" s="35"/>
      <c r="H31" s="35"/>
      <c r="I31" s="35"/>
      <c r="J31" s="35"/>
      <c r="K31" s="35"/>
    </row>
    <row r="32" spans="1:11" s="36" customFormat="1" ht="20.5">
      <c r="A32" s="157"/>
      <c r="B32" s="157"/>
      <c r="C32" s="186"/>
      <c r="D32" s="187"/>
      <c r="E32" s="187"/>
      <c r="F32" s="187"/>
      <c r="G32" s="188"/>
      <c r="H32" s="188"/>
      <c r="I32" s="188"/>
      <c r="J32" s="188"/>
      <c r="K32" s="188"/>
    </row>
    <row r="33" spans="1:11" ht="20.5">
      <c r="A33" s="157"/>
      <c r="B33" s="157"/>
      <c r="C33" s="186"/>
      <c r="D33" s="187"/>
      <c r="E33" s="187"/>
      <c r="F33" s="187"/>
      <c r="G33" s="188"/>
      <c r="H33" s="188"/>
      <c r="I33" s="188"/>
      <c r="J33" s="188"/>
      <c r="K33" s="188"/>
    </row>
    <row r="34" spans="1:11" ht="20.5">
      <c r="A34" s="157"/>
      <c r="B34" s="157"/>
      <c r="C34" s="186"/>
      <c r="D34" s="187"/>
      <c r="E34" s="187"/>
      <c r="F34" s="187"/>
      <c r="G34" s="188"/>
      <c r="H34" s="188"/>
      <c r="I34" s="188"/>
      <c r="J34" s="188"/>
      <c r="K34" s="188"/>
    </row>
    <row r="35" spans="1:11" ht="20.5">
      <c r="A35" s="157"/>
      <c r="B35" s="157"/>
      <c r="C35" s="186"/>
      <c r="D35" s="187"/>
      <c r="E35" s="187"/>
      <c r="F35" s="187"/>
      <c r="G35" s="188"/>
      <c r="H35" s="188"/>
      <c r="I35" s="188"/>
      <c r="J35" s="188"/>
      <c r="K35" s="188"/>
    </row>
    <row r="36" spans="1:11" ht="20.5">
      <c r="A36" s="157"/>
      <c r="B36" s="157"/>
      <c r="C36" s="186"/>
      <c r="D36" s="187"/>
      <c r="E36" s="187"/>
      <c r="F36" s="187"/>
      <c r="G36" s="188"/>
      <c r="H36" s="188"/>
      <c r="I36" s="188"/>
      <c r="J36" s="188"/>
      <c r="K36" s="188"/>
    </row>
    <row r="37" spans="1:11" ht="20.5">
      <c r="A37" s="157"/>
      <c r="B37" s="157"/>
      <c r="C37" s="186"/>
      <c r="D37" s="187"/>
      <c r="E37" s="187"/>
      <c r="F37" s="187"/>
      <c r="G37" s="188"/>
      <c r="H37" s="188"/>
      <c r="I37" s="188"/>
      <c r="J37" s="188"/>
      <c r="K37" s="188"/>
    </row>
    <row r="39" spans="1:11" ht="20.5">
      <c r="A39" s="36"/>
      <c r="B39" s="36"/>
      <c r="C39" s="36"/>
    </row>
    <row r="40" spans="1:11" ht="20.5">
      <c r="A40" s="36"/>
      <c r="B40" s="36"/>
      <c r="C40" s="36"/>
    </row>
    <row r="41" spans="1:11" ht="20.5">
      <c r="D41" s="36"/>
      <c r="E41" s="36"/>
      <c r="F41" s="36"/>
      <c r="G41" s="36"/>
    </row>
    <row r="42" spans="1:11" ht="20.5">
      <c r="D42" s="230"/>
      <c r="E42" s="230"/>
      <c r="F42" s="230"/>
      <c r="G42" s="230"/>
    </row>
    <row r="43" spans="1:11" ht="20.5">
      <c r="D43" s="230"/>
      <c r="E43" s="230"/>
      <c r="F43" s="230"/>
      <c r="G43" s="230"/>
    </row>
  </sheetData>
  <mergeCells count="5">
    <mergeCell ref="A1:K1"/>
    <mergeCell ref="A2:K2"/>
    <mergeCell ref="D3:F3"/>
    <mergeCell ref="D42:G42"/>
    <mergeCell ref="D43:G43"/>
  </mergeCells>
  <pageMargins left="1.1600000000000001" right="0.37" top="0.56000000000000005" bottom="0.44" header="0.3" footer="0.3"/>
  <pageSetup scale="9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9377-ABF3-4689-9880-A6AD8A819246}">
  <dimension ref="A1:K44"/>
  <sheetViews>
    <sheetView topLeftCell="A10" zoomScale="88" zoomScaleNormal="88" workbookViewId="0">
      <selection activeCell="A2" sqref="A2:K2"/>
    </sheetView>
  </sheetViews>
  <sheetFormatPr defaultColWidth="8.6328125" defaultRowHeight="14.5"/>
  <cols>
    <col min="1" max="1" width="5.6328125" style="79" customWidth="1"/>
    <col min="2" max="2" width="7.36328125" style="79" customWidth="1"/>
    <col min="3" max="3" width="18.08984375" style="79" customWidth="1"/>
    <col min="4" max="4" width="6.6328125" style="79" customWidth="1"/>
    <col min="5" max="5" width="11.08984375" style="79" customWidth="1"/>
    <col min="6" max="6" width="12.90625" style="79" customWidth="1"/>
    <col min="7" max="7" width="7.90625" style="79" customWidth="1"/>
    <col min="8" max="11" width="4.08984375" style="79" customWidth="1"/>
    <col min="12" max="90" width="9.08984375" style="79" customWidth="1"/>
    <col min="91" max="16384" width="8.6328125" style="79"/>
  </cols>
  <sheetData>
    <row r="1" spans="1:11" ht="20.25" customHeight="1">
      <c r="A1" s="227" t="s">
        <v>472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</row>
    <row r="2" spans="1:11" s="36" customFormat="1" ht="21" customHeight="1">
      <c r="A2" s="228" t="s">
        <v>447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11" s="36" customFormat="1" ht="21" customHeight="1">
      <c r="A3" s="101" t="s">
        <v>159</v>
      </c>
      <c r="B3" s="101" t="s">
        <v>1</v>
      </c>
      <c r="C3" s="101" t="s">
        <v>0</v>
      </c>
      <c r="D3" s="231" t="s">
        <v>160</v>
      </c>
      <c r="E3" s="231"/>
      <c r="F3" s="231"/>
      <c r="G3" s="70"/>
      <c r="H3" s="70"/>
      <c r="I3" s="70"/>
      <c r="J3" s="70"/>
      <c r="K3" s="70"/>
    </row>
    <row r="4" spans="1:11" s="36" customFormat="1" ht="21" customHeight="1">
      <c r="A4" s="102">
        <v>1</v>
      </c>
      <c r="B4" s="11">
        <v>1416</v>
      </c>
      <c r="C4" s="25">
        <v>1379900400203</v>
      </c>
      <c r="D4" s="14" t="s">
        <v>2</v>
      </c>
      <c r="E4" s="26" t="s">
        <v>146</v>
      </c>
      <c r="F4" s="27" t="s">
        <v>147</v>
      </c>
      <c r="G4" s="17"/>
      <c r="H4" s="17"/>
      <c r="I4" s="17"/>
      <c r="J4" s="17"/>
      <c r="K4" s="17"/>
    </row>
    <row r="5" spans="1:11" s="164" customFormat="1" ht="21" customHeight="1">
      <c r="A5" s="102">
        <v>2</v>
      </c>
      <c r="B5" s="11">
        <v>1412</v>
      </c>
      <c r="C5" s="25">
        <v>1309903761746</v>
      </c>
      <c r="D5" s="18" t="s">
        <v>2</v>
      </c>
      <c r="E5" s="26" t="s">
        <v>131</v>
      </c>
      <c r="F5" s="27" t="s">
        <v>132</v>
      </c>
      <c r="H5" s="166"/>
      <c r="I5" s="166"/>
      <c r="J5" s="166"/>
      <c r="K5" s="166"/>
    </row>
    <row r="6" spans="1:11" s="36" customFormat="1" ht="21" customHeight="1">
      <c r="A6" s="102">
        <v>3</v>
      </c>
      <c r="B6" s="11">
        <v>1413</v>
      </c>
      <c r="C6" s="25">
        <v>1300101305651</v>
      </c>
      <c r="D6" s="18" t="s">
        <v>2</v>
      </c>
      <c r="E6" s="26" t="s">
        <v>130</v>
      </c>
      <c r="F6" s="27" t="s">
        <v>6</v>
      </c>
      <c r="G6" s="17"/>
      <c r="H6" s="17"/>
      <c r="I6" s="17"/>
      <c r="J6" s="17"/>
      <c r="K6" s="17"/>
    </row>
    <row r="7" spans="1:11" s="36" customFormat="1" ht="21" customHeight="1">
      <c r="A7" s="11">
        <v>4</v>
      </c>
      <c r="B7" s="11">
        <v>1449</v>
      </c>
      <c r="C7" s="25">
        <v>1119902608407</v>
      </c>
      <c r="D7" s="18" t="s">
        <v>2</v>
      </c>
      <c r="E7" s="26" t="s">
        <v>133</v>
      </c>
      <c r="F7" s="27" t="s">
        <v>92</v>
      </c>
      <c r="G7" s="17"/>
      <c r="H7" s="17"/>
      <c r="I7" s="17"/>
      <c r="J7" s="17"/>
      <c r="K7" s="17"/>
    </row>
    <row r="8" spans="1:11" s="36" customFormat="1" ht="21" customHeight="1">
      <c r="A8" s="11">
        <v>5</v>
      </c>
      <c r="B8" s="11">
        <v>1452</v>
      </c>
      <c r="C8" s="25">
        <v>1300101306658</v>
      </c>
      <c r="D8" s="18" t="s">
        <v>2</v>
      </c>
      <c r="E8" s="26" t="s">
        <v>134</v>
      </c>
      <c r="F8" s="27" t="s">
        <v>135</v>
      </c>
      <c r="G8" s="17"/>
      <c r="H8" s="17"/>
      <c r="I8" s="17"/>
      <c r="J8" s="17"/>
      <c r="K8" s="17"/>
    </row>
    <row r="9" spans="1:11" s="36" customFormat="1" ht="21" customHeight="1">
      <c r="A9" s="11">
        <v>6</v>
      </c>
      <c r="B9" s="11">
        <v>1453</v>
      </c>
      <c r="C9" s="25">
        <v>1309903818608</v>
      </c>
      <c r="D9" s="18" t="s">
        <v>2</v>
      </c>
      <c r="E9" s="26" t="s">
        <v>136</v>
      </c>
      <c r="F9" s="27" t="s">
        <v>10</v>
      </c>
      <c r="G9" s="17"/>
      <c r="H9" s="17"/>
      <c r="I9" s="17"/>
      <c r="J9" s="17"/>
      <c r="K9" s="17"/>
    </row>
    <row r="10" spans="1:11" s="36" customFormat="1" ht="21" customHeight="1">
      <c r="A10" s="11">
        <v>7</v>
      </c>
      <c r="B10" s="11">
        <v>1458</v>
      </c>
      <c r="C10" s="25">
        <v>1309903821811</v>
      </c>
      <c r="D10" s="18" t="s">
        <v>2</v>
      </c>
      <c r="E10" s="26" t="s">
        <v>139</v>
      </c>
      <c r="F10" s="27" t="s">
        <v>8</v>
      </c>
      <c r="G10" s="17"/>
      <c r="H10" s="17"/>
      <c r="I10" s="17"/>
      <c r="J10" s="17"/>
      <c r="K10" s="17"/>
    </row>
    <row r="11" spans="1:11" s="36" customFormat="1" ht="21" customHeight="1">
      <c r="A11" s="11">
        <v>8</v>
      </c>
      <c r="B11" s="11">
        <v>1459</v>
      </c>
      <c r="C11" s="25">
        <v>1300101306330</v>
      </c>
      <c r="D11" s="18" t="s">
        <v>2</v>
      </c>
      <c r="E11" s="26" t="s">
        <v>137</v>
      </c>
      <c r="F11" s="27" t="s">
        <v>138</v>
      </c>
      <c r="G11" s="17"/>
      <c r="H11" s="17"/>
      <c r="I11" s="17"/>
      <c r="J11" s="17"/>
      <c r="K11" s="17"/>
    </row>
    <row r="12" spans="1:11" s="36" customFormat="1" ht="21" customHeight="1">
      <c r="A12" s="11">
        <v>9</v>
      </c>
      <c r="B12" s="11">
        <v>1460</v>
      </c>
      <c r="C12" s="25">
        <v>1309903824632</v>
      </c>
      <c r="D12" s="18" t="s">
        <v>2</v>
      </c>
      <c r="E12" s="26" t="s">
        <v>140</v>
      </c>
      <c r="F12" s="27" t="s">
        <v>141</v>
      </c>
      <c r="G12" s="17"/>
      <c r="H12" s="17"/>
      <c r="I12" s="17"/>
      <c r="J12" s="17"/>
      <c r="K12" s="17"/>
    </row>
    <row r="13" spans="1:11" s="36" customFormat="1" ht="21" customHeight="1">
      <c r="A13" s="11">
        <v>10</v>
      </c>
      <c r="B13" s="11">
        <v>1630</v>
      </c>
      <c r="C13" s="25">
        <v>1209702651227</v>
      </c>
      <c r="D13" s="14" t="s">
        <v>2</v>
      </c>
      <c r="E13" s="26" t="s">
        <v>142</v>
      </c>
      <c r="F13" s="27" t="s">
        <v>143</v>
      </c>
      <c r="G13" s="17"/>
      <c r="H13" s="17"/>
      <c r="I13" s="17"/>
      <c r="J13" s="17"/>
      <c r="K13" s="17"/>
    </row>
    <row r="14" spans="1:11" s="36" customFormat="1" ht="21" customHeight="1">
      <c r="A14" s="11">
        <v>11</v>
      </c>
      <c r="B14" s="24">
        <v>1864</v>
      </c>
      <c r="C14" s="73">
        <v>1300101306313</v>
      </c>
      <c r="D14" s="18" t="s">
        <v>2</v>
      </c>
      <c r="E14" s="23" t="s">
        <v>359</v>
      </c>
      <c r="F14" s="23" t="s">
        <v>360</v>
      </c>
      <c r="G14" s="17"/>
      <c r="H14" s="17"/>
      <c r="I14" s="17"/>
      <c r="J14" s="17"/>
      <c r="K14" s="17"/>
    </row>
    <row r="15" spans="1:11" s="36" customFormat="1" ht="21" customHeight="1">
      <c r="A15" s="11">
        <v>12</v>
      </c>
      <c r="B15" s="11">
        <v>1548</v>
      </c>
      <c r="C15" s="25">
        <v>1300101308685</v>
      </c>
      <c r="D15" s="14" t="s">
        <v>34</v>
      </c>
      <c r="E15" s="26" t="s">
        <v>321</v>
      </c>
      <c r="F15" s="27" t="s">
        <v>144</v>
      </c>
      <c r="G15" s="17"/>
      <c r="H15" s="17"/>
      <c r="I15" s="17"/>
      <c r="J15" s="17"/>
      <c r="K15" s="17"/>
    </row>
    <row r="16" spans="1:11" s="36" customFormat="1" ht="21" customHeight="1">
      <c r="A16" s="11">
        <v>13</v>
      </c>
      <c r="B16" s="71">
        <v>1701</v>
      </c>
      <c r="C16" s="25">
        <v>1309903844439</v>
      </c>
      <c r="D16" s="14" t="s">
        <v>34</v>
      </c>
      <c r="E16" s="15" t="s">
        <v>364</v>
      </c>
      <c r="F16" s="16" t="s">
        <v>365</v>
      </c>
      <c r="G16" s="17"/>
      <c r="H16" s="17"/>
      <c r="I16" s="17"/>
      <c r="J16" s="17"/>
      <c r="K16" s="17"/>
    </row>
    <row r="17" spans="1:11" s="8" customFormat="1" ht="21" customHeight="1">
      <c r="A17" s="11">
        <v>14</v>
      </c>
      <c r="B17" s="24">
        <v>1731</v>
      </c>
      <c r="C17" s="73">
        <v>1309903806472</v>
      </c>
      <c r="D17" s="18" t="s">
        <v>34</v>
      </c>
      <c r="E17" s="23" t="s">
        <v>366</v>
      </c>
      <c r="F17" s="23" t="s">
        <v>367</v>
      </c>
      <c r="G17" s="28"/>
      <c r="H17" s="28"/>
      <c r="I17" s="28"/>
      <c r="J17" s="28"/>
      <c r="K17" s="28"/>
    </row>
    <row r="18" spans="1:11" s="36" customFormat="1" ht="21" customHeight="1">
      <c r="A18" s="11">
        <v>15</v>
      </c>
      <c r="B18" s="11">
        <v>1813</v>
      </c>
      <c r="C18" s="25">
        <v>1147500019014</v>
      </c>
      <c r="D18" s="14" t="s">
        <v>34</v>
      </c>
      <c r="E18" s="26" t="s">
        <v>300</v>
      </c>
      <c r="F18" s="27" t="s">
        <v>301</v>
      </c>
      <c r="G18" s="17"/>
      <c r="H18" s="17"/>
      <c r="I18" s="17"/>
      <c r="J18" s="17"/>
      <c r="K18" s="17"/>
    </row>
    <row r="19" spans="1:11" s="36" customFormat="1" ht="21" customHeight="1">
      <c r="A19" s="11">
        <v>16</v>
      </c>
      <c r="B19" s="11">
        <v>1815</v>
      </c>
      <c r="C19" s="25">
        <v>1779900460164</v>
      </c>
      <c r="D19" s="14" t="s">
        <v>34</v>
      </c>
      <c r="E19" s="26" t="s">
        <v>299</v>
      </c>
      <c r="F19" s="27" t="s">
        <v>298</v>
      </c>
      <c r="G19" s="17"/>
      <c r="H19" s="17"/>
      <c r="I19" s="17"/>
      <c r="J19" s="17"/>
      <c r="K19" s="17"/>
    </row>
    <row r="20" spans="1:11" s="36" customFormat="1" ht="21" customHeight="1">
      <c r="A20" s="11">
        <v>17</v>
      </c>
      <c r="B20" s="169">
        <v>1816</v>
      </c>
      <c r="C20" s="170">
        <v>1300101308103</v>
      </c>
      <c r="D20" s="171" t="s">
        <v>34</v>
      </c>
      <c r="E20" s="172" t="s">
        <v>416</v>
      </c>
      <c r="F20" s="173" t="s">
        <v>417</v>
      </c>
      <c r="G20" s="17"/>
      <c r="H20" s="17"/>
      <c r="I20" s="17"/>
      <c r="J20" s="17"/>
      <c r="K20" s="17"/>
    </row>
    <row r="21" spans="1:11" s="36" customFormat="1" ht="21" customHeight="1">
      <c r="A21" s="11">
        <v>18</v>
      </c>
      <c r="B21" s="175">
        <v>1900</v>
      </c>
      <c r="C21" s="200">
        <v>1300101308537</v>
      </c>
      <c r="D21" s="201" t="s">
        <v>34</v>
      </c>
      <c r="E21" s="202" t="s">
        <v>426</v>
      </c>
      <c r="F21" s="203" t="s">
        <v>64</v>
      </c>
      <c r="G21" s="204"/>
      <c r="H21" s="204"/>
      <c r="I21" s="204"/>
      <c r="J21" s="204"/>
      <c r="K21" s="204"/>
    </row>
    <row r="22" spans="1:11" s="36" customFormat="1" ht="21" customHeight="1">
      <c r="A22" s="190"/>
      <c r="B22" s="114"/>
      <c r="C22" s="114"/>
      <c r="D22" s="115"/>
      <c r="E22" s="58"/>
      <c r="F22" s="59"/>
      <c r="G22" s="114"/>
      <c r="H22" s="114"/>
      <c r="I22" s="114"/>
      <c r="J22" s="114"/>
      <c r="K22" s="114"/>
    </row>
    <row r="23" spans="1:11" s="36" customFormat="1" ht="21" customHeight="1">
      <c r="A23" s="11"/>
      <c r="B23" s="11"/>
      <c r="C23" s="25"/>
      <c r="D23" s="14"/>
      <c r="E23" s="26"/>
      <c r="F23" s="27"/>
      <c r="G23" s="17"/>
      <c r="H23" s="17"/>
      <c r="I23" s="17"/>
      <c r="J23" s="17"/>
      <c r="K23" s="17"/>
    </row>
    <row r="24" spans="1:11" s="36" customFormat="1" ht="21" customHeight="1">
      <c r="A24" s="11"/>
      <c r="C24" s="115"/>
      <c r="D24" s="115"/>
      <c r="G24" s="17"/>
      <c r="H24" s="17"/>
      <c r="I24" s="17"/>
      <c r="J24" s="17"/>
      <c r="K24" s="17"/>
    </row>
    <row r="25" spans="1:11" s="36" customFormat="1" ht="18" customHeight="1">
      <c r="A25" s="29"/>
      <c r="B25" s="114"/>
      <c r="C25" s="114"/>
      <c r="D25" s="58"/>
      <c r="E25" s="58"/>
      <c r="F25" s="59"/>
      <c r="G25" s="35"/>
      <c r="H25" s="35"/>
      <c r="I25" s="35"/>
      <c r="J25" s="35"/>
      <c r="K25" s="35"/>
    </row>
    <row r="26" spans="1:11" s="36" customFormat="1" ht="18" customHeight="1">
      <c r="A26" s="29"/>
      <c r="B26" s="114"/>
      <c r="C26" s="114"/>
      <c r="D26" s="58"/>
      <c r="E26" s="58"/>
      <c r="F26" s="59"/>
      <c r="G26" s="35"/>
      <c r="H26" s="35"/>
      <c r="I26" s="35"/>
      <c r="J26" s="35"/>
      <c r="K26" s="35"/>
    </row>
    <row r="27" spans="1:11" s="36" customFormat="1" ht="18" customHeight="1">
      <c r="A27" s="29"/>
      <c r="B27" s="114"/>
      <c r="C27" s="114"/>
      <c r="D27" s="58"/>
      <c r="E27" s="58"/>
      <c r="F27" s="59"/>
      <c r="G27" s="35"/>
      <c r="H27" s="35"/>
      <c r="I27" s="35"/>
      <c r="J27" s="35"/>
      <c r="K27" s="35"/>
    </row>
    <row r="28" spans="1:11" s="36" customFormat="1" ht="18" customHeight="1">
      <c r="A28" s="29"/>
      <c r="B28" s="92"/>
      <c r="C28" s="116"/>
      <c r="G28" s="35"/>
      <c r="H28" s="35"/>
      <c r="I28" s="35"/>
      <c r="J28" s="35"/>
      <c r="K28" s="35"/>
    </row>
    <row r="29" spans="1:11" s="36" customFormat="1" ht="18" customHeight="1">
      <c r="A29" s="29"/>
      <c r="B29" s="29"/>
      <c r="C29" s="30"/>
      <c r="D29" s="31"/>
      <c r="E29" s="32"/>
      <c r="F29" s="33"/>
      <c r="G29" s="35"/>
      <c r="H29" s="35"/>
      <c r="I29" s="35"/>
      <c r="J29" s="35"/>
      <c r="K29" s="35"/>
    </row>
    <row r="30" spans="1:11" s="36" customFormat="1" ht="18" customHeight="1">
      <c r="A30" s="29"/>
      <c r="B30" s="29"/>
      <c r="C30" s="30"/>
      <c r="D30" s="31"/>
      <c r="E30" s="32"/>
      <c r="F30" s="33"/>
      <c r="G30" s="35"/>
      <c r="H30" s="35"/>
      <c r="I30" s="35"/>
      <c r="J30" s="35"/>
      <c r="K30" s="35"/>
    </row>
    <row r="31" spans="1:11" s="36" customFormat="1" ht="18" customHeight="1">
      <c r="A31" s="29"/>
      <c r="B31" s="29"/>
      <c r="C31" s="30"/>
      <c r="D31" s="31"/>
      <c r="E31" s="32"/>
      <c r="F31" s="33"/>
      <c r="G31" s="35"/>
      <c r="H31" s="35"/>
      <c r="I31" s="35"/>
      <c r="J31" s="35"/>
      <c r="K31" s="35"/>
    </row>
    <row r="32" spans="1:11" s="36" customFormat="1" ht="18" customHeight="1">
      <c r="A32" s="29"/>
      <c r="B32" s="29"/>
      <c r="C32" s="30"/>
      <c r="D32" s="31"/>
      <c r="E32" s="32"/>
      <c r="F32" s="33"/>
      <c r="G32" s="35"/>
      <c r="H32" s="35"/>
      <c r="I32" s="35"/>
      <c r="J32" s="35"/>
      <c r="K32" s="35"/>
    </row>
    <row r="33" spans="1:11" s="36" customFormat="1" ht="18" customHeight="1">
      <c r="A33" s="29"/>
      <c r="B33" s="29"/>
      <c r="C33" s="30"/>
      <c r="D33" s="31"/>
      <c r="E33" s="32"/>
      <c r="F33" s="33"/>
      <c r="G33" s="35"/>
      <c r="H33" s="35"/>
      <c r="I33" s="35"/>
      <c r="J33" s="35"/>
      <c r="K33" s="35"/>
    </row>
    <row r="34" spans="1:11" s="36" customFormat="1" ht="18" customHeight="1">
      <c r="A34" s="29"/>
      <c r="B34" s="29"/>
      <c r="C34" s="30"/>
      <c r="D34" s="31"/>
      <c r="E34" s="32"/>
      <c r="F34" s="33"/>
      <c r="G34" s="35"/>
      <c r="H34" s="35"/>
      <c r="I34" s="35"/>
      <c r="J34" s="35"/>
      <c r="K34" s="35"/>
    </row>
    <row r="36" spans="1:11" ht="20.5">
      <c r="A36" s="36"/>
      <c r="B36" s="36"/>
      <c r="C36" s="36"/>
    </row>
    <row r="37" spans="1:11" ht="20.5">
      <c r="A37" s="36"/>
      <c r="B37" s="36"/>
      <c r="C37" s="36"/>
    </row>
    <row r="38" spans="1:11" ht="20.5">
      <c r="D38" s="36"/>
      <c r="E38" s="36"/>
      <c r="F38" s="36"/>
      <c r="G38" s="36"/>
    </row>
    <row r="39" spans="1:11" ht="20.5">
      <c r="D39" s="230"/>
      <c r="E39" s="230"/>
      <c r="F39" s="230"/>
      <c r="G39" s="230"/>
    </row>
    <row r="40" spans="1:11" ht="20.5">
      <c r="D40" s="230"/>
      <c r="E40" s="230"/>
      <c r="F40" s="230"/>
      <c r="G40" s="230"/>
    </row>
    <row r="42" spans="1:11" ht="20.5">
      <c r="D42" s="36"/>
      <c r="E42" s="36"/>
      <c r="F42" s="36"/>
      <c r="G42" s="36"/>
    </row>
    <row r="43" spans="1:11" ht="20.5">
      <c r="D43" s="230"/>
      <c r="E43" s="230"/>
      <c r="F43" s="230"/>
      <c r="G43" s="230"/>
    </row>
    <row r="44" spans="1:11" ht="20.5">
      <c r="D44" s="230" t="s">
        <v>324</v>
      </c>
      <c r="E44" s="230"/>
      <c r="F44" s="230"/>
      <c r="G44" s="230"/>
    </row>
  </sheetData>
  <mergeCells count="7">
    <mergeCell ref="D44:G44"/>
    <mergeCell ref="D43:G43"/>
    <mergeCell ref="A1:K1"/>
    <mergeCell ref="A2:K2"/>
    <mergeCell ref="D3:F3"/>
    <mergeCell ref="D39:G39"/>
    <mergeCell ref="D40:G40"/>
  </mergeCells>
  <pageMargins left="0.76" right="0.37" top="0.56000000000000005" bottom="0.44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สรุปจำนวน นร.</vt:lpstr>
      <vt:lpstr>อ.1</vt:lpstr>
      <vt:lpstr>อ.2</vt:lpstr>
      <vt:lpstr>อ.3</vt:lpstr>
      <vt:lpstr>ป.1</vt:lpstr>
      <vt:lpstr>ป.2</vt:lpstr>
      <vt:lpstr>ป.3</vt:lpstr>
      <vt:lpstr>ป.4</vt:lpstr>
      <vt:lpstr>ป.5</vt:lpstr>
      <vt:lpstr>ป.6</vt:lpstr>
      <vt:lpstr>ม.1</vt:lpstr>
      <vt:lpstr>ม.2</vt:lpstr>
      <vt:lpstr>ม.3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Mnw Chrnsk</cp:lastModifiedBy>
  <cp:lastPrinted>2025-05-28T05:54:53Z</cp:lastPrinted>
  <dcterms:created xsi:type="dcterms:W3CDTF">2019-05-25T08:01:49Z</dcterms:created>
  <dcterms:modified xsi:type="dcterms:W3CDTF">2025-10-30T14:41:58Z</dcterms:modified>
</cp:coreProperties>
</file>